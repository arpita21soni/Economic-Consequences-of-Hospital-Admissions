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https://unaledu-my.sharepoint.com/personal/ilurrear_unal_edu_co/Documents/PhD/Papers/Metodología/Empirical Methods/graphs_extension/Under_60/"/>
    </mc:Choice>
  </mc:AlternateContent>
  <xr:revisionPtr revIDLastSave="102" documentId="8_{6CD80757-5AB8-174B-A401-3B3844C7584A}" xr6:coauthVersionLast="47" xr6:coauthVersionMax="47" xr10:uidLastSave="{7517C6DD-42A3-B144-92B7-5DC49D1B8482}"/>
  <bookViews>
    <workbookView xWindow="520" yWindow="500" windowWidth="27700" windowHeight="16100" activeTab="3" xr2:uid="{DD999C82-BD84-5E40-8E5E-657A5344BA1A}"/>
  </bookViews>
  <sheets>
    <sheet name="TABLE EXAMPLE_FULL" sheetId="13" r:id="rId1"/>
    <sheet name="TABLE EXAMPLE_NOINS" sheetId="14" r:id="rId2"/>
    <sheet name="Comparison" sheetId="22" r:id="rId3"/>
    <sheet name="oop_spend_full" sheetId="1" r:id="rId4"/>
    <sheet name="earnings_full" sheetId="2" r:id="rId5"/>
    <sheet name="working_full" sheetId="3" r:id="rId6"/>
    <sheet name="spousal_full" sheetId="4" r:id="rId7"/>
    <sheet name="insurancepay_full" sheetId="5" r:id="rId8"/>
    <sheet name="hitot_full" sheetId="6" r:id="rId9"/>
    <sheet name="oop_spend_NOINS" sheetId="7" r:id="rId10"/>
    <sheet name="earnings_NOINS" sheetId="8" r:id="rId11"/>
    <sheet name="working_NOINS" sheetId="9" r:id="rId12"/>
    <sheet name="spousal_NOINS" sheetId="10" r:id="rId13"/>
    <sheet name="insurancepay_NOINS" sheetId="11" r:id="rId14"/>
    <sheet name="hitot_NOINS" sheetId="12" r:id="rId15"/>
    <sheet name="oop_spend_INS" sheetId="16" r:id="rId16"/>
    <sheet name="earnings_INS " sheetId="17" r:id="rId17"/>
    <sheet name="working_INS " sheetId="18" r:id="rId18"/>
    <sheet name="spousal_INS " sheetId="19" r:id="rId19"/>
    <sheet name="insurancepay_INS " sheetId="20" r:id="rId20"/>
    <sheet name="hitot_INS " sheetId="21"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6" l="1"/>
  <c r="B29" i="6"/>
  <c r="B28" i="6"/>
  <c r="B27" i="6"/>
  <c r="B26" i="6"/>
  <c r="B24" i="6"/>
  <c r="B23" i="6"/>
  <c r="C28" i="6"/>
  <c r="C27" i="6"/>
  <c r="C26" i="6"/>
  <c r="C25" i="6"/>
  <c r="C24" i="6"/>
  <c r="C23" i="6"/>
  <c r="B29" i="5"/>
  <c r="B28" i="5"/>
  <c r="B27" i="5"/>
  <c r="B26" i="5"/>
  <c r="B24" i="5"/>
  <c r="B23" i="5"/>
  <c r="C29" i="5"/>
  <c r="C28" i="5"/>
  <c r="C27" i="5"/>
  <c r="C26" i="5"/>
  <c r="C25" i="5"/>
  <c r="C24" i="5"/>
  <c r="C23" i="5"/>
  <c r="B27" i="4"/>
  <c r="B28" i="4"/>
  <c r="B29" i="4"/>
  <c r="B26" i="4"/>
  <c r="B24" i="4"/>
  <c r="B23" i="4"/>
  <c r="C29" i="4"/>
  <c r="C28" i="4"/>
  <c r="C27" i="4"/>
  <c r="C26" i="4"/>
  <c r="C25" i="4"/>
  <c r="C24" i="4"/>
  <c r="C23" i="4"/>
  <c r="C29" i="3"/>
  <c r="C28" i="3"/>
  <c r="C27" i="3"/>
  <c r="C26" i="3"/>
  <c r="C25" i="3"/>
  <c r="C24" i="3"/>
  <c r="C23" i="3"/>
  <c r="B27" i="3"/>
  <c r="B28" i="3"/>
  <c r="B29" i="3"/>
  <c r="B26" i="3"/>
  <c r="B24" i="3"/>
  <c r="B23" i="3"/>
  <c r="B27" i="2"/>
  <c r="B28" i="2"/>
  <c r="B29" i="2"/>
  <c r="B26" i="2"/>
  <c r="B24" i="2"/>
  <c r="B23" i="2"/>
  <c r="C29" i="2"/>
  <c r="C28" i="2"/>
  <c r="C27" i="2"/>
  <c r="C26" i="2"/>
  <c r="C25" i="2"/>
  <c r="C24" i="2"/>
  <c r="C23" i="2"/>
  <c r="C27" i="1"/>
  <c r="C28" i="1"/>
  <c r="C29" i="1"/>
  <c r="C26" i="1"/>
  <c r="C24" i="1"/>
  <c r="C25" i="1"/>
  <c r="C23" i="1"/>
  <c r="B27" i="1"/>
  <c r="B28" i="1"/>
  <c r="B29" i="1"/>
  <c r="B26" i="1"/>
  <c r="B24" i="1"/>
  <c r="B23" i="1"/>
  <c r="G13" i="14"/>
  <c r="G12" i="14"/>
  <c r="G10" i="14"/>
  <c r="G9" i="14"/>
  <c r="G8" i="14"/>
  <c r="G7" i="14"/>
  <c r="G6" i="14"/>
  <c r="G5" i="14"/>
  <c r="F5" i="14"/>
  <c r="F6" i="14"/>
  <c r="F7" i="14"/>
  <c r="F8" i="14"/>
  <c r="F9" i="14"/>
  <c r="F10" i="14"/>
  <c r="F12" i="14"/>
  <c r="F13" i="14"/>
  <c r="E13" i="14"/>
  <c r="E12" i="14"/>
  <c r="E10" i="14"/>
  <c r="E9" i="14"/>
  <c r="E8" i="14"/>
  <c r="E7" i="14"/>
  <c r="E6" i="14"/>
  <c r="E5" i="14"/>
  <c r="D5" i="14"/>
  <c r="D6" i="14"/>
  <c r="D7" i="14"/>
  <c r="D8" i="14"/>
  <c r="D9" i="14"/>
  <c r="D10" i="14"/>
  <c r="D12" i="14"/>
  <c r="D13" i="14"/>
  <c r="C13" i="14"/>
  <c r="C12" i="14"/>
  <c r="C10" i="14"/>
  <c r="C9" i="14"/>
  <c r="C8" i="14"/>
  <c r="C7" i="14"/>
  <c r="C6" i="14"/>
  <c r="C5" i="14"/>
  <c r="B13" i="14"/>
  <c r="B12" i="14"/>
  <c r="B10" i="14"/>
  <c r="B9" i="14"/>
  <c r="B8" i="14"/>
  <c r="B7" i="14"/>
  <c r="B6" i="14"/>
  <c r="B5" i="14"/>
  <c r="G13" i="13"/>
  <c r="F13" i="13"/>
  <c r="G12" i="13"/>
  <c r="F12" i="13"/>
  <c r="G10" i="13"/>
  <c r="F10" i="13"/>
  <c r="G9" i="13"/>
  <c r="F9" i="13"/>
  <c r="G8" i="13"/>
  <c r="F8" i="13"/>
  <c r="G7" i="13"/>
  <c r="F7" i="13"/>
  <c r="G6" i="13"/>
  <c r="F6" i="13"/>
  <c r="G5" i="13"/>
  <c r="F5" i="13"/>
  <c r="E13" i="13"/>
  <c r="E12" i="13"/>
  <c r="E10" i="13"/>
  <c r="E9" i="13"/>
  <c r="E8" i="13"/>
  <c r="E7" i="13"/>
  <c r="E6" i="13"/>
  <c r="E5" i="13"/>
  <c r="D13" i="13"/>
  <c r="D12" i="13"/>
  <c r="D10" i="13"/>
  <c r="D9" i="13"/>
  <c r="D8" i="13"/>
  <c r="D7" i="13"/>
  <c r="D6" i="13"/>
  <c r="D5" i="13"/>
  <c r="C10" i="13"/>
  <c r="B10" i="13"/>
  <c r="C13" i="13"/>
  <c r="C12" i="13"/>
  <c r="C9" i="13"/>
  <c r="C8" i="13"/>
  <c r="C7" i="13"/>
  <c r="C6" i="13"/>
  <c r="C5" i="13"/>
  <c r="B13" i="13"/>
  <c r="B12" i="13"/>
  <c r="B9" i="13"/>
  <c r="B7" i="13"/>
  <c r="B6" i="13"/>
  <c r="B8" i="13"/>
  <c r="B5" i="13"/>
</calcChain>
</file>

<file path=xl/sharedStrings.xml><?xml version="1.0" encoding="utf-8"?>
<sst xmlns="http://schemas.openxmlformats.org/spreadsheetml/2006/main" count="466" uniqueCount="70">
  <si>
    <t>Number</t>
  </si>
  <si>
    <t>of</t>
  </si>
  <si>
    <t>obs     =</t>
  </si>
  <si>
    <t>oop_spend</t>
  </si>
  <si>
    <t>Coef.</t>
  </si>
  <si>
    <t>Std. Err.</t>
  </si>
  <si>
    <t>z</t>
  </si>
  <si>
    <t>P&gt;z</t>
  </si>
  <si>
    <t>[95% Conf.</t>
  </si>
  <si>
    <t>Interval]</t>
  </si>
  <si>
    <t>tau0</t>
  </si>
  <si>
    <t>tau1</t>
  </si>
  <si>
    <t>tau2</t>
  </si>
  <si>
    <t>tau3</t>
  </si>
  <si>
    <t>tau4</t>
  </si>
  <si>
    <t>pre1</t>
  </si>
  <si>
    <t>pre2</t>
  </si>
  <si>
    <t>pre3</t>
  </si>
  <si>
    <t>riearn_c</t>
  </si>
  <si>
    <t>working</t>
  </si>
  <si>
    <t>siearnsemp</t>
  </si>
  <si>
    <t>hgovt</t>
  </si>
  <si>
    <t>hitot_inc</t>
  </si>
  <si>
    <t>Out-of-Pocket Medical Spending</t>
  </si>
  <si>
    <t>Working Part or Full-Time</t>
  </si>
  <si>
    <t>Respondent Earnings</t>
  </si>
  <si>
    <t>Spousal Earnings</t>
  </si>
  <si>
    <t>Household Social Insurance Payments</t>
  </si>
  <si>
    <r>
      <t>Total Household Income</t>
    </r>
    <r>
      <rPr>
        <vertAlign val="superscript"/>
        <sz val="11"/>
        <color indexed="8"/>
        <rFont val="Times New Roman"/>
        <family val="1"/>
      </rPr>
      <t>b</t>
    </r>
  </si>
  <si>
    <r>
      <t>12-month effect</t>
    </r>
    <r>
      <rPr>
        <vertAlign val="superscript"/>
        <sz val="11"/>
        <color indexed="8"/>
        <rFont val="Times New Roman"/>
        <family val="1"/>
      </rPr>
      <t>a</t>
    </r>
  </si>
  <si>
    <t xml:space="preserve">             </t>
  </si>
  <si>
    <r>
      <t>Effect at 36 months</t>
    </r>
    <r>
      <rPr>
        <vertAlign val="superscript"/>
        <sz val="11"/>
        <color indexed="8"/>
        <rFont val="Times New Roman"/>
        <family val="1"/>
      </rPr>
      <t>a</t>
    </r>
  </si>
  <si>
    <t>Pre-hospitalization mean</t>
  </si>
  <si>
    <t>Number of Observations</t>
  </si>
  <si>
    <r>
      <t>Notes:</t>
    </r>
    <r>
      <rPr>
        <sz val="11"/>
        <color indexed="8"/>
        <rFont val="Times New Roman"/>
        <family val="1"/>
      </rPr>
      <t xml:space="preserve"> Sample is the non-elderly insured (see Table 1, column 1) in the HRS.  All columns report effects based on OLS estimates of equation (4). Pre-hospitalization means are calculated using the survey wave preceding the hospitalization. Standard errors (clustered on the individual) are in parentheses and p-values are in brackets. All estimates are weighted using survey weights.
a All reported effects are reweighted to correct for timing features of the HRS survey, assuming a uniform distribution of hospitalizations in the two years between survey waves and a piecewise linear spline functional form with knots at 12 and 36 months, using the true distribution of month of the survey within the year, and adjusting for the reporting window. All outcomes are reported for the past calendar year except for out-of-pocket medical spending which covers the two-years since the last interview and working part or full-time which is asked at the time of the interview. See Appendix C for methodological details.
b Total household income is the sum of respondent earnings, spousal earnings, household social insurance payments, and household pension income.</t>
    </r>
    <r>
      <rPr>
        <u/>
        <sz val="11"/>
        <color indexed="8"/>
        <rFont val="Times New Roman"/>
        <family val="1"/>
      </rPr>
      <t xml:space="preserve">
</t>
    </r>
  </si>
  <si>
    <t>Table 1
Impact of Hospitalization on the Non-Elderly Insured (Ages 50 to 59) in the HRS</t>
  </si>
  <si>
    <t>Table 1
Impact of Hospitalization on the Non-Elderly No Insured (Ages 50 to 59) in the HRS</t>
  </si>
  <si>
    <t>var</t>
  </si>
  <si>
    <t>age_hosp</t>
  </si>
  <si>
    <t>riearnsemp</t>
  </si>
  <si>
    <t>hitot_old</t>
  </si>
  <si>
    <t>log_hitot_old</t>
  </si>
  <si>
    <t>hitot_exc</t>
  </si>
  <si>
    <t>log_hitot_inc</t>
  </si>
  <si>
    <t>log_hitot_exc</t>
  </si>
  <si>
    <t>Indiv</t>
  </si>
  <si>
    <t>N</t>
  </si>
  <si>
    <t>R2</t>
  </si>
  <si>
    <t>_cons</t>
  </si>
  <si>
    <t>evt_f2</t>
  </si>
  <si>
    <t>evt_f3</t>
  </si>
  <si>
    <t>evt_l0</t>
  </si>
  <si>
    <t>evt_l1</t>
  </si>
  <si>
    <t>evt_l2</t>
  </si>
  <si>
    <t>evt_l3</t>
  </si>
  <si>
    <t>Original</t>
  </si>
  <si>
    <t>Extension</t>
  </si>
  <si>
    <t>t</t>
  </si>
  <si>
    <t>t+1</t>
  </si>
  <si>
    <t>t+2</t>
  </si>
  <si>
    <t>t+3</t>
  </si>
  <si>
    <t>t-1</t>
  </si>
  <si>
    <t>t-2</t>
  </si>
  <si>
    <t>t-3</t>
  </si>
  <si>
    <t>risemp</t>
  </si>
  <si>
    <t>sisemp</t>
  </si>
  <si>
    <t>hisemp</t>
  </si>
  <si>
    <t>a_risemp</t>
  </si>
  <si>
    <t>a_sisemp</t>
  </si>
  <si>
    <t>a_hisemp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</si>
</sst>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_);\(0\)"/>
    <numFmt numFmtId="165" formatCode="0.000"/>
    <numFmt numFmtId="166" formatCode="0.000_);\(0.000\)"/>
    <numFmt numFmtId="167" formatCode="0.0"/>
  </numFmts>
  <fonts count="9" x14ac:knownFonts="1">
    <font>
      <sz val="12"/>
      <color theme="1"/>
      <name val="Calibri"/>
      <family val="2"/>
      <scheme val="minor"/>
    </font>
    <font>
      <sz val="11"/>
      <color indexed="8"/>
      <name val="Calibri"/>
      <family val="2"/>
    </font>
    <font>
      <sz val="13"/>
      <color indexed="8"/>
      <name val="Times New Roman"/>
      <family val="1"/>
    </font>
    <font>
      <sz val="11"/>
      <color indexed="8"/>
      <name val="Times New Roman"/>
      <family val="1"/>
    </font>
    <font>
      <vertAlign val="superscript"/>
      <sz val="11"/>
      <color indexed="8"/>
      <name val="Times New Roman"/>
      <family val="1"/>
    </font>
    <font>
      <u/>
      <sz val="11"/>
      <color indexed="8"/>
      <name val="Times New Roman"/>
      <family val="1"/>
    </font>
    <font>
      <b/>
      <sz val="11"/>
      <color theme="1"/>
      <name val="Calibri"/>
      <family val="2"/>
      <scheme val="minor"/>
    </font>
    <font>
      <sz val="8"/>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right/>
      <top/>
      <bottom style="double">
        <color indexed="64"/>
      </bottom>
      <diagonal/>
    </border>
    <border>
      <left/>
      <right/>
      <top/>
      <bottom style="thin">
        <color indexed="64"/>
      </bottom>
      <diagonal/>
    </border>
    <border>
      <left/>
      <right/>
      <top style="thin">
        <color indexed="64"/>
      </top>
      <bottom/>
      <diagonal/>
    </border>
  </borders>
  <cellStyleXfs count="2">
    <xf numFmtId="0" fontId="0" fillId="0" borderId="0"/>
    <xf numFmtId="0" fontId="1" fillId="0" borderId="0"/>
  </cellStyleXfs>
  <cellXfs count="29">
    <xf numFmtId="0" fontId="0" fillId="0" borderId="0" xfId="0"/>
    <xf numFmtId="3" fontId="0" fillId="0" borderId="0" xfId="0" applyNumberFormat="1"/>
    <xf numFmtId="0" fontId="1" fillId="0" borderId="0" xfId="1" applyAlignment="1">
      <alignment vertical="top"/>
    </xf>
    <xf numFmtId="0" fontId="3" fillId="0" borderId="0" xfId="1" applyFont="1" applyAlignment="1">
      <alignment horizontal="center" wrapText="1"/>
    </xf>
    <xf numFmtId="164" fontId="3" fillId="0" borderId="0" xfId="1" applyNumberFormat="1" applyFont="1" applyAlignment="1">
      <alignment horizontal="center" vertical="center" wrapText="1"/>
    </xf>
    <xf numFmtId="0" fontId="1" fillId="0" borderId="0" xfId="1"/>
    <xf numFmtId="0" fontId="3" fillId="0" borderId="2" xfId="1" applyFont="1" applyBorder="1" applyAlignment="1">
      <alignment horizontal="center" vertical="center"/>
    </xf>
    <xf numFmtId="164" fontId="3" fillId="0" borderId="2" xfId="1" applyNumberFormat="1" applyFont="1" applyBorder="1" applyAlignment="1">
      <alignment horizontal="center" vertical="center"/>
    </xf>
    <xf numFmtId="0" fontId="3" fillId="0" borderId="3" xfId="1" applyFont="1" applyBorder="1" applyAlignment="1">
      <alignment vertical="center"/>
    </xf>
    <xf numFmtId="165" fontId="3" fillId="0" borderId="0" xfId="1" applyNumberFormat="1" applyFont="1" applyAlignment="1">
      <alignment horizontal="left" vertical="top"/>
    </xf>
    <xf numFmtId="165" fontId="3" fillId="0" borderId="0" xfId="1" applyNumberFormat="1" applyFont="1" applyAlignment="1">
      <alignment horizontal="center" vertical="center"/>
    </xf>
    <xf numFmtId="0" fontId="3" fillId="0" borderId="0" xfId="1" applyFont="1" applyAlignment="1">
      <alignment horizontal="center" vertical="center"/>
    </xf>
    <xf numFmtId="165" fontId="1" fillId="0" borderId="0" xfId="1" applyNumberFormat="1" applyAlignment="1">
      <alignment vertical="top"/>
    </xf>
    <xf numFmtId="166" fontId="3" fillId="0" borderId="0" xfId="1" applyNumberFormat="1" applyFont="1" applyAlignment="1">
      <alignment horizontal="left" vertical="top"/>
    </xf>
    <xf numFmtId="166" fontId="3" fillId="0" borderId="0" xfId="1" applyNumberFormat="1" applyFont="1" applyAlignment="1">
      <alignment horizontal="center" vertical="center"/>
    </xf>
    <xf numFmtId="166" fontId="1" fillId="0" borderId="0" xfId="1" applyNumberFormat="1" applyAlignment="1">
      <alignment vertical="top"/>
    </xf>
    <xf numFmtId="0" fontId="3" fillId="0" borderId="0" xfId="1" applyFont="1" applyAlignment="1">
      <alignment horizontal="left" vertical="top"/>
    </xf>
    <xf numFmtId="3" fontId="3" fillId="0" borderId="0" xfId="1" applyNumberFormat="1" applyFont="1" applyAlignment="1">
      <alignment horizontal="center" vertical="center"/>
    </xf>
    <xf numFmtId="0" fontId="3" fillId="0" borderId="1" xfId="1" applyFont="1" applyBorder="1" applyAlignment="1">
      <alignment horizontal="left" vertical="top"/>
    </xf>
    <xf numFmtId="0" fontId="3" fillId="0" borderId="1" xfId="1" applyFont="1" applyBorder="1" applyAlignment="1">
      <alignment horizontal="center" vertical="center"/>
    </xf>
    <xf numFmtId="0" fontId="1" fillId="0" borderId="0" xfId="1" applyAlignment="1">
      <alignment horizontal="right" vertical="top"/>
    </xf>
    <xf numFmtId="0" fontId="3" fillId="0" borderId="0" xfId="1" applyFont="1" applyAlignment="1">
      <alignment vertical="top"/>
    </xf>
    <xf numFmtId="165" fontId="0" fillId="0" borderId="0" xfId="0" applyNumberFormat="1"/>
    <xf numFmtId="167" fontId="3" fillId="0" borderId="0" xfId="1" applyNumberFormat="1" applyFont="1" applyAlignment="1">
      <alignment horizontal="center" vertical="center"/>
    </xf>
    <xf numFmtId="0" fontId="6" fillId="0" borderId="0" xfId="0" applyFont="1" applyAlignment="1">
      <alignment horizontal="center"/>
    </xf>
    <xf numFmtId="11" fontId="0" fillId="0" borderId="0" xfId="0" applyNumberFormat="1"/>
    <xf numFmtId="0" fontId="2" fillId="0" borderId="1" xfId="1" applyFont="1" applyBorder="1" applyAlignment="1">
      <alignment horizontal="center" vertical="center" wrapText="1"/>
    </xf>
    <xf numFmtId="0" fontId="5" fillId="0" borderId="0" xfId="1" applyFont="1" applyAlignment="1">
      <alignment horizontal="left" vertical="top" wrapText="1"/>
    </xf>
    <xf numFmtId="0" fontId="8" fillId="0" borderId="0" xfId="0" applyFont="1"/>
  </cellXfs>
  <cellStyles count="2">
    <cellStyle name="Normal" xfId="0" builtinId="0"/>
    <cellStyle name="Normal 2 3" xfId="1" xr:uid="{2C098528-9720-CA43-B75F-6DFE5B120A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Out of Pocket Spending</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title>
    <c:autoTitleDeleted val="0"/>
    <c:plotArea>
      <c:layout/>
      <c:lineChart>
        <c:grouping val="standard"/>
        <c:varyColors val="0"/>
        <c:ser>
          <c:idx val="0"/>
          <c:order val="0"/>
          <c:tx>
            <c:strRef>
              <c:f>oop_spend_full!$B$21:$B$22</c:f>
              <c:strCache>
                <c:ptCount val="2"/>
                <c:pt idx="0">
                  <c:v>Original</c:v>
                </c:pt>
              </c:strCache>
            </c:strRef>
          </c:tx>
          <c:spPr>
            <a:ln w="28575" cap="rnd">
              <a:solidFill>
                <a:schemeClr val="tx1"/>
              </a:solidFill>
              <a:round/>
            </a:ln>
            <a:effectLst/>
          </c:spPr>
          <c:marker>
            <c:symbol val="none"/>
          </c:marker>
          <c:cat>
            <c:strRef>
              <c:f>oop_spend_full!$A$23:$A$29</c:f>
              <c:strCache>
                <c:ptCount val="7"/>
                <c:pt idx="0">
                  <c:v>t-3</c:v>
                </c:pt>
                <c:pt idx="1">
                  <c:v>t-2</c:v>
                </c:pt>
                <c:pt idx="2">
                  <c:v>t-1</c:v>
                </c:pt>
                <c:pt idx="3">
                  <c:v>t</c:v>
                </c:pt>
                <c:pt idx="4">
                  <c:v>t+1</c:v>
                </c:pt>
                <c:pt idx="5">
                  <c:v>t+2</c:v>
                </c:pt>
                <c:pt idx="6">
                  <c:v>t+3</c:v>
                </c:pt>
              </c:strCache>
            </c:strRef>
          </c:cat>
          <c:val>
            <c:numRef>
              <c:f>oop_spend_full!$B$23:$B$29</c:f>
              <c:numCache>
                <c:formatCode>General</c:formatCode>
                <c:ptCount val="7"/>
                <c:pt idx="0">
                  <c:v>-217.86429999999999</c:v>
                </c:pt>
                <c:pt idx="1">
                  <c:v>-30.336269999999999</c:v>
                </c:pt>
                <c:pt idx="2">
                  <c:v>0</c:v>
                </c:pt>
                <c:pt idx="3">
                  <c:v>2311.9290000000001</c:v>
                </c:pt>
                <c:pt idx="4">
                  <c:v>1365.4659999999999</c:v>
                </c:pt>
                <c:pt idx="5">
                  <c:v>1176.595</c:v>
                </c:pt>
                <c:pt idx="6">
                  <c:v>1424.018</c:v>
                </c:pt>
              </c:numCache>
            </c:numRef>
          </c:val>
          <c:smooth val="0"/>
          <c:extLst>
            <c:ext xmlns:c16="http://schemas.microsoft.com/office/drawing/2014/chart" uri="{C3380CC4-5D6E-409C-BE32-E72D297353CC}">
              <c16:uniqueId val="{00000000-50B6-4545-996A-E4B5B884CF32}"/>
            </c:ext>
          </c:extLst>
        </c:ser>
        <c:ser>
          <c:idx val="1"/>
          <c:order val="1"/>
          <c:tx>
            <c:strRef>
              <c:f>oop_spend_full!$C$21:$C$22</c:f>
              <c:strCache>
                <c:ptCount val="2"/>
                <c:pt idx="0">
                  <c:v>Extension</c:v>
                </c:pt>
              </c:strCache>
            </c:strRef>
          </c:tx>
          <c:spPr>
            <a:ln w="28575" cap="rnd">
              <a:solidFill>
                <a:srgbClr val="C00000"/>
              </a:solidFill>
              <a:prstDash val="dash"/>
              <a:round/>
            </a:ln>
            <a:effectLst/>
          </c:spPr>
          <c:marker>
            <c:symbol val="none"/>
          </c:marker>
          <c:cat>
            <c:strRef>
              <c:f>oop_spend_full!$A$23:$A$29</c:f>
              <c:strCache>
                <c:ptCount val="7"/>
                <c:pt idx="0">
                  <c:v>t-3</c:v>
                </c:pt>
                <c:pt idx="1">
                  <c:v>t-2</c:v>
                </c:pt>
                <c:pt idx="2">
                  <c:v>t-1</c:v>
                </c:pt>
                <c:pt idx="3">
                  <c:v>t</c:v>
                </c:pt>
                <c:pt idx="4">
                  <c:v>t+1</c:v>
                </c:pt>
                <c:pt idx="5">
                  <c:v>t+2</c:v>
                </c:pt>
                <c:pt idx="6">
                  <c:v>t+3</c:v>
                </c:pt>
              </c:strCache>
            </c:strRef>
          </c:cat>
          <c:val>
            <c:numRef>
              <c:f>oop_spend_full!$C$23:$C$29</c:f>
              <c:numCache>
                <c:formatCode>General</c:formatCode>
                <c:ptCount val="7"/>
                <c:pt idx="0">
                  <c:v>116.4025</c:v>
                </c:pt>
                <c:pt idx="1">
                  <c:v>181.54089999999999</c:v>
                </c:pt>
                <c:pt idx="2">
                  <c:v>-170.74029999999999</c:v>
                </c:pt>
                <c:pt idx="3">
                  <c:v>1935.019</c:v>
                </c:pt>
                <c:pt idx="4">
                  <c:v>1197.1089999999999</c:v>
                </c:pt>
                <c:pt idx="5">
                  <c:v>1124.3800000000001</c:v>
                </c:pt>
                <c:pt idx="6">
                  <c:v>1242.3800000000001</c:v>
                </c:pt>
              </c:numCache>
            </c:numRef>
          </c:val>
          <c:smooth val="0"/>
          <c:extLst>
            <c:ext xmlns:c16="http://schemas.microsoft.com/office/drawing/2014/chart" uri="{C3380CC4-5D6E-409C-BE32-E72D297353CC}">
              <c16:uniqueId val="{00000001-50B6-4545-996A-E4B5B884CF32}"/>
            </c:ext>
          </c:extLst>
        </c:ser>
        <c:dLbls>
          <c:showLegendKey val="0"/>
          <c:showVal val="0"/>
          <c:showCatName val="0"/>
          <c:showSerName val="0"/>
          <c:showPercent val="0"/>
          <c:showBubbleSize val="0"/>
        </c:dLbls>
        <c:smooth val="0"/>
        <c:axId val="1685754144"/>
        <c:axId val="1685832624"/>
      </c:lineChart>
      <c:catAx>
        <c:axId val="168575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crossAx val="1685832624"/>
        <c:crosses val="autoZero"/>
        <c:auto val="1"/>
        <c:lblAlgn val="ctr"/>
        <c:lblOffset val="100"/>
        <c:noMultiLvlLbl val="0"/>
      </c:catAx>
      <c:valAx>
        <c:axId val="168583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crossAx val="168575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latin typeface="Times New Roman" panose="02020603050405020304" pitchFamily="18" charset="0"/>
          <a:cs typeface="Times New Roman" panose="02020603050405020304" pitchFamily="18" charset="0"/>
        </a:defRPr>
      </a:pPr>
      <a:endParaRPr lang="en-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Respondent Earnings</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title>
    <c:autoTitleDeleted val="0"/>
    <c:plotArea>
      <c:layout/>
      <c:lineChart>
        <c:grouping val="standard"/>
        <c:varyColors val="0"/>
        <c:ser>
          <c:idx val="0"/>
          <c:order val="0"/>
          <c:tx>
            <c:strRef>
              <c:f>earnings_full!$B$21:$B$22</c:f>
              <c:strCache>
                <c:ptCount val="2"/>
                <c:pt idx="0">
                  <c:v>Original</c:v>
                </c:pt>
              </c:strCache>
            </c:strRef>
          </c:tx>
          <c:spPr>
            <a:ln w="28575" cap="rnd">
              <a:solidFill>
                <a:schemeClr val="tx1"/>
              </a:solidFill>
              <a:round/>
            </a:ln>
            <a:effectLst/>
          </c:spPr>
          <c:marker>
            <c:symbol val="none"/>
          </c:marker>
          <c:cat>
            <c:strRef>
              <c:f>earnings_full!$A$23:$A$29</c:f>
              <c:strCache>
                <c:ptCount val="7"/>
                <c:pt idx="0">
                  <c:v>t-3</c:v>
                </c:pt>
                <c:pt idx="1">
                  <c:v>t-2</c:v>
                </c:pt>
                <c:pt idx="2">
                  <c:v>t-1</c:v>
                </c:pt>
                <c:pt idx="3">
                  <c:v>t</c:v>
                </c:pt>
                <c:pt idx="4">
                  <c:v>t+1</c:v>
                </c:pt>
                <c:pt idx="5">
                  <c:v>t+2</c:v>
                </c:pt>
                <c:pt idx="6">
                  <c:v>t+3</c:v>
                </c:pt>
              </c:strCache>
            </c:strRef>
          </c:cat>
          <c:val>
            <c:numRef>
              <c:f>earnings_full!$B$23:$B$29</c:f>
              <c:numCache>
                <c:formatCode>General</c:formatCode>
                <c:ptCount val="7"/>
                <c:pt idx="0">
                  <c:v>585.0154</c:v>
                </c:pt>
                <c:pt idx="1">
                  <c:v>-2198.741</c:v>
                </c:pt>
                <c:pt idx="2">
                  <c:v>0</c:v>
                </c:pt>
                <c:pt idx="3">
                  <c:v>-6480.5540000000001</c:v>
                </c:pt>
                <c:pt idx="4">
                  <c:v>-13732.65</c:v>
                </c:pt>
                <c:pt idx="5">
                  <c:v>-17392.189999999999</c:v>
                </c:pt>
                <c:pt idx="6">
                  <c:v>-20397.32</c:v>
                </c:pt>
              </c:numCache>
            </c:numRef>
          </c:val>
          <c:smooth val="0"/>
          <c:extLst>
            <c:ext xmlns:c16="http://schemas.microsoft.com/office/drawing/2014/chart" uri="{C3380CC4-5D6E-409C-BE32-E72D297353CC}">
              <c16:uniqueId val="{00000002-0844-824C-91E4-411F48B84B8B}"/>
            </c:ext>
          </c:extLst>
        </c:ser>
        <c:ser>
          <c:idx val="1"/>
          <c:order val="1"/>
          <c:tx>
            <c:strRef>
              <c:f>earnings_full!$C$21:$C$22</c:f>
              <c:strCache>
                <c:ptCount val="2"/>
                <c:pt idx="0">
                  <c:v>Extension</c:v>
                </c:pt>
              </c:strCache>
            </c:strRef>
          </c:tx>
          <c:spPr>
            <a:ln w="28575" cap="rnd">
              <a:solidFill>
                <a:srgbClr val="C00000"/>
              </a:solidFill>
              <a:prstDash val="dash"/>
              <a:round/>
            </a:ln>
            <a:effectLst/>
          </c:spPr>
          <c:marker>
            <c:symbol val="none"/>
          </c:marker>
          <c:cat>
            <c:strRef>
              <c:f>earnings_full!$A$23:$A$29</c:f>
              <c:strCache>
                <c:ptCount val="7"/>
                <c:pt idx="0">
                  <c:v>t-3</c:v>
                </c:pt>
                <c:pt idx="1">
                  <c:v>t-2</c:v>
                </c:pt>
                <c:pt idx="2">
                  <c:v>t-1</c:v>
                </c:pt>
                <c:pt idx="3">
                  <c:v>t</c:v>
                </c:pt>
                <c:pt idx="4">
                  <c:v>t+1</c:v>
                </c:pt>
                <c:pt idx="5">
                  <c:v>t+2</c:v>
                </c:pt>
                <c:pt idx="6">
                  <c:v>t+3</c:v>
                </c:pt>
              </c:strCache>
            </c:strRef>
          </c:cat>
          <c:val>
            <c:numRef>
              <c:f>earnings_full!$C$23:$C$29</c:f>
              <c:numCache>
                <c:formatCode>General</c:formatCode>
                <c:ptCount val="7"/>
                <c:pt idx="0">
                  <c:v>-3353.7539999999999</c:v>
                </c:pt>
                <c:pt idx="1">
                  <c:v>-2780.509</c:v>
                </c:pt>
                <c:pt idx="2">
                  <c:v>409.85509999999999</c:v>
                </c:pt>
                <c:pt idx="3">
                  <c:v>-3396.1959999999999</c:v>
                </c:pt>
                <c:pt idx="4">
                  <c:v>-11739.83</c:v>
                </c:pt>
                <c:pt idx="5">
                  <c:v>-15369.72</c:v>
                </c:pt>
                <c:pt idx="6">
                  <c:v>-16505.37</c:v>
                </c:pt>
              </c:numCache>
            </c:numRef>
          </c:val>
          <c:smooth val="0"/>
          <c:extLst>
            <c:ext xmlns:c16="http://schemas.microsoft.com/office/drawing/2014/chart" uri="{C3380CC4-5D6E-409C-BE32-E72D297353CC}">
              <c16:uniqueId val="{00000003-0844-824C-91E4-411F48B84B8B}"/>
            </c:ext>
          </c:extLst>
        </c:ser>
        <c:dLbls>
          <c:showLegendKey val="0"/>
          <c:showVal val="0"/>
          <c:showCatName val="0"/>
          <c:showSerName val="0"/>
          <c:showPercent val="0"/>
          <c:showBubbleSize val="0"/>
        </c:dLbls>
        <c:smooth val="0"/>
        <c:axId val="1685754144"/>
        <c:axId val="1685832624"/>
      </c:lineChart>
      <c:catAx>
        <c:axId val="168575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crossAx val="1685832624"/>
        <c:crosses val="autoZero"/>
        <c:auto val="1"/>
        <c:lblAlgn val="ctr"/>
        <c:lblOffset val="100"/>
        <c:noMultiLvlLbl val="0"/>
      </c:catAx>
      <c:valAx>
        <c:axId val="168583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crossAx val="168575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latin typeface="Times New Roman" panose="02020603050405020304" pitchFamily="18" charset="0"/>
          <a:cs typeface="Times New Roman" panose="02020603050405020304" pitchFamily="18" charset="0"/>
        </a:defRPr>
      </a:pPr>
      <a:endParaRPr lang="en-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Working Part- or Full- Time </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title>
    <c:autoTitleDeleted val="0"/>
    <c:plotArea>
      <c:layout/>
      <c:lineChart>
        <c:grouping val="standard"/>
        <c:varyColors val="0"/>
        <c:ser>
          <c:idx val="0"/>
          <c:order val="0"/>
          <c:tx>
            <c:strRef>
              <c:f>working_full!$B$21:$B$22</c:f>
              <c:strCache>
                <c:ptCount val="2"/>
                <c:pt idx="0">
                  <c:v>Original</c:v>
                </c:pt>
              </c:strCache>
            </c:strRef>
          </c:tx>
          <c:spPr>
            <a:ln w="28575" cap="rnd">
              <a:solidFill>
                <a:schemeClr val="tx1"/>
              </a:solidFill>
              <a:round/>
            </a:ln>
            <a:effectLst/>
          </c:spPr>
          <c:marker>
            <c:symbol val="none"/>
          </c:marker>
          <c:cat>
            <c:strRef>
              <c:f>working_full!$A$23:$A$29</c:f>
              <c:strCache>
                <c:ptCount val="7"/>
                <c:pt idx="0">
                  <c:v>t-3</c:v>
                </c:pt>
                <c:pt idx="1">
                  <c:v>t-2</c:v>
                </c:pt>
                <c:pt idx="2">
                  <c:v>t-1</c:v>
                </c:pt>
                <c:pt idx="3">
                  <c:v>t</c:v>
                </c:pt>
                <c:pt idx="4">
                  <c:v>t+1</c:v>
                </c:pt>
                <c:pt idx="5">
                  <c:v>t+2</c:v>
                </c:pt>
                <c:pt idx="6">
                  <c:v>t+3</c:v>
                </c:pt>
              </c:strCache>
            </c:strRef>
          </c:cat>
          <c:val>
            <c:numRef>
              <c:f>working_full!$B$23:$B$29</c:f>
              <c:numCache>
                <c:formatCode>General</c:formatCode>
                <c:ptCount val="7"/>
                <c:pt idx="0">
                  <c:v>6.6927589999999997</c:v>
                </c:pt>
                <c:pt idx="1">
                  <c:v>4.8341289999999999</c:v>
                </c:pt>
                <c:pt idx="2">
                  <c:v>0</c:v>
                </c:pt>
                <c:pt idx="3">
                  <c:v>-11.494339999999999</c:v>
                </c:pt>
                <c:pt idx="4">
                  <c:v>-20.965779999999999</c:v>
                </c:pt>
                <c:pt idx="5">
                  <c:v>-32.285159999999998</c:v>
                </c:pt>
                <c:pt idx="6">
                  <c:v>-41.449330000000003</c:v>
                </c:pt>
              </c:numCache>
            </c:numRef>
          </c:val>
          <c:smooth val="0"/>
          <c:extLst>
            <c:ext xmlns:c16="http://schemas.microsoft.com/office/drawing/2014/chart" uri="{C3380CC4-5D6E-409C-BE32-E72D297353CC}">
              <c16:uniqueId val="{00000002-A5B2-2843-AF03-1307482212BD}"/>
            </c:ext>
          </c:extLst>
        </c:ser>
        <c:ser>
          <c:idx val="1"/>
          <c:order val="1"/>
          <c:tx>
            <c:strRef>
              <c:f>working_full!$C$21:$C$22</c:f>
              <c:strCache>
                <c:ptCount val="2"/>
                <c:pt idx="0">
                  <c:v>Extension</c:v>
                </c:pt>
              </c:strCache>
            </c:strRef>
          </c:tx>
          <c:spPr>
            <a:ln w="28575" cap="rnd">
              <a:solidFill>
                <a:srgbClr val="C00000"/>
              </a:solidFill>
              <a:prstDash val="dash"/>
              <a:round/>
            </a:ln>
            <a:effectLst/>
          </c:spPr>
          <c:marker>
            <c:symbol val="none"/>
          </c:marker>
          <c:cat>
            <c:strRef>
              <c:f>working_full!$A$23:$A$29</c:f>
              <c:strCache>
                <c:ptCount val="7"/>
                <c:pt idx="0">
                  <c:v>t-3</c:v>
                </c:pt>
                <c:pt idx="1">
                  <c:v>t-2</c:v>
                </c:pt>
                <c:pt idx="2">
                  <c:v>t-1</c:v>
                </c:pt>
                <c:pt idx="3">
                  <c:v>t</c:v>
                </c:pt>
                <c:pt idx="4">
                  <c:v>t+1</c:v>
                </c:pt>
                <c:pt idx="5">
                  <c:v>t+2</c:v>
                </c:pt>
                <c:pt idx="6">
                  <c:v>t+3</c:v>
                </c:pt>
              </c:strCache>
            </c:strRef>
          </c:cat>
          <c:val>
            <c:numRef>
              <c:f>working_full!$C$23:$C$29</c:f>
              <c:numCache>
                <c:formatCode>General</c:formatCode>
                <c:ptCount val="7"/>
                <c:pt idx="0">
                  <c:v>2.8187190000000002</c:v>
                </c:pt>
                <c:pt idx="1">
                  <c:v>3.9255040000000001</c:v>
                </c:pt>
                <c:pt idx="2">
                  <c:v>4.7353160000000001</c:v>
                </c:pt>
                <c:pt idx="3">
                  <c:v>-8.7711500000000004</c:v>
                </c:pt>
                <c:pt idx="4">
                  <c:v>-14.17381</c:v>
                </c:pt>
                <c:pt idx="5">
                  <c:v>-20.975069999999999</c:v>
                </c:pt>
                <c:pt idx="6">
                  <c:v>-27.422070000000001</c:v>
                </c:pt>
              </c:numCache>
            </c:numRef>
          </c:val>
          <c:smooth val="0"/>
          <c:extLst>
            <c:ext xmlns:c16="http://schemas.microsoft.com/office/drawing/2014/chart" uri="{C3380CC4-5D6E-409C-BE32-E72D297353CC}">
              <c16:uniqueId val="{00000003-A5B2-2843-AF03-1307482212BD}"/>
            </c:ext>
          </c:extLst>
        </c:ser>
        <c:dLbls>
          <c:showLegendKey val="0"/>
          <c:showVal val="0"/>
          <c:showCatName val="0"/>
          <c:showSerName val="0"/>
          <c:showPercent val="0"/>
          <c:showBubbleSize val="0"/>
        </c:dLbls>
        <c:smooth val="0"/>
        <c:axId val="1685754144"/>
        <c:axId val="1685832624"/>
      </c:lineChart>
      <c:catAx>
        <c:axId val="168575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crossAx val="1685832624"/>
        <c:crosses val="autoZero"/>
        <c:auto val="1"/>
        <c:lblAlgn val="ctr"/>
        <c:lblOffset val="100"/>
        <c:noMultiLvlLbl val="0"/>
      </c:catAx>
      <c:valAx>
        <c:axId val="168583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crossAx val="168575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latin typeface="Times New Roman" panose="02020603050405020304" pitchFamily="18" charset="0"/>
          <a:cs typeface="Times New Roman" panose="02020603050405020304" pitchFamily="18" charset="0"/>
        </a:defRPr>
      </a:pPr>
      <a:endParaRPr lang="en-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Spousal Earnings 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title>
    <c:autoTitleDeleted val="0"/>
    <c:plotArea>
      <c:layout/>
      <c:lineChart>
        <c:grouping val="standard"/>
        <c:varyColors val="0"/>
        <c:ser>
          <c:idx val="0"/>
          <c:order val="0"/>
          <c:tx>
            <c:strRef>
              <c:f>spousal_full!$B$21:$B$22</c:f>
              <c:strCache>
                <c:ptCount val="2"/>
                <c:pt idx="0">
                  <c:v>Original</c:v>
                </c:pt>
              </c:strCache>
            </c:strRef>
          </c:tx>
          <c:spPr>
            <a:ln w="28575" cap="rnd">
              <a:solidFill>
                <a:schemeClr val="tx1"/>
              </a:solidFill>
              <a:round/>
            </a:ln>
            <a:effectLst/>
          </c:spPr>
          <c:marker>
            <c:symbol val="none"/>
          </c:marker>
          <c:cat>
            <c:strRef>
              <c:f>spousal_full!$A$23:$A$29</c:f>
              <c:strCache>
                <c:ptCount val="7"/>
                <c:pt idx="0">
                  <c:v>t-3</c:v>
                </c:pt>
                <c:pt idx="1">
                  <c:v>t-2</c:v>
                </c:pt>
                <c:pt idx="2">
                  <c:v>t-1</c:v>
                </c:pt>
                <c:pt idx="3">
                  <c:v>t</c:v>
                </c:pt>
                <c:pt idx="4">
                  <c:v>t+1</c:v>
                </c:pt>
                <c:pt idx="5">
                  <c:v>t+2</c:v>
                </c:pt>
                <c:pt idx="6">
                  <c:v>t+3</c:v>
                </c:pt>
              </c:strCache>
            </c:strRef>
          </c:cat>
          <c:val>
            <c:numRef>
              <c:f>spousal_full!$B$23:$B$29</c:f>
              <c:numCache>
                <c:formatCode>General</c:formatCode>
                <c:ptCount val="7"/>
                <c:pt idx="0">
                  <c:v>4232.1310000000003</c:v>
                </c:pt>
                <c:pt idx="1">
                  <c:v>3028.7260000000001</c:v>
                </c:pt>
                <c:pt idx="2">
                  <c:v>0</c:v>
                </c:pt>
                <c:pt idx="3">
                  <c:v>-2390.7919999999999</c:v>
                </c:pt>
                <c:pt idx="4">
                  <c:v>-3010.9430000000002</c:v>
                </c:pt>
                <c:pt idx="5">
                  <c:v>-7562.4250000000002</c:v>
                </c:pt>
                <c:pt idx="6">
                  <c:v>-10273.450000000001</c:v>
                </c:pt>
              </c:numCache>
            </c:numRef>
          </c:val>
          <c:smooth val="0"/>
          <c:extLst>
            <c:ext xmlns:c16="http://schemas.microsoft.com/office/drawing/2014/chart" uri="{C3380CC4-5D6E-409C-BE32-E72D297353CC}">
              <c16:uniqueId val="{00000002-3328-114E-A0D0-BD9D6288AB7B}"/>
            </c:ext>
          </c:extLst>
        </c:ser>
        <c:ser>
          <c:idx val="1"/>
          <c:order val="1"/>
          <c:tx>
            <c:strRef>
              <c:f>spousal_full!$C$21:$C$22</c:f>
              <c:strCache>
                <c:ptCount val="2"/>
                <c:pt idx="0">
                  <c:v>Extension</c:v>
                </c:pt>
              </c:strCache>
            </c:strRef>
          </c:tx>
          <c:spPr>
            <a:ln w="28575" cap="rnd">
              <a:solidFill>
                <a:srgbClr val="C00000"/>
              </a:solidFill>
              <a:prstDash val="dash"/>
              <a:round/>
            </a:ln>
            <a:effectLst/>
          </c:spPr>
          <c:marker>
            <c:symbol val="none"/>
          </c:marker>
          <c:cat>
            <c:strRef>
              <c:f>spousal_full!$A$23:$A$29</c:f>
              <c:strCache>
                <c:ptCount val="7"/>
                <c:pt idx="0">
                  <c:v>t-3</c:v>
                </c:pt>
                <c:pt idx="1">
                  <c:v>t-2</c:v>
                </c:pt>
                <c:pt idx="2">
                  <c:v>t-1</c:v>
                </c:pt>
                <c:pt idx="3">
                  <c:v>t</c:v>
                </c:pt>
                <c:pt idx="4">
                  <c:v>t+1</c:v>
                </c:pt>
                <c:pt idx="5">
                  <c:v>t+2</c:v>
                </c:pt>
                <c:pt idx="6">
                  <c:v>t+3</c:v>
                </c:pt>
              </c:strCache>
            </c:strRef>
          </c:cat>
          <c:val>
            <c:numRef>
              <c:f>spousal_full!$C$23:$C$29</c:f>
              <c:numCache>
                <c:formatCode>General</c:formatCode>
                <c:ptCount val="7"/>
                <c:pt idx="0">
                  <c:v>10401.26</c:v>
                </c:pt>
                <c:pt idx="1">
                  <c:v>6130.6779999999999</c:v>
                </c:pt>
                <c:pt idx="2">
                  <c:v>4482.2169999999996</c:v>
                </c:pt>
                <c:pt idx="3">
                  <c:v>2734.4</c:v>
                </c:pt>
                <c:pt idx="4">
                  <c:v>3981.56</c:v>
                </c:pt>
                <c:pt idx="5">
                  <c:v>4324.9110000000001</c:v>
                </c:pt>
                <c:pt idx="6">
                  <c:v>7528.067</c:v>
                </c:pt>
              </c:numCache>
            </c:numRef>
          </c:val>
          <c:smooth val="0"/>
          <c:extLst>
            <c:ext xmlns:c16="http://schemas.microsoft.com/office/drawing/2014/chart" uri="{C3380CC4-5D6E-409C-BE32-E72D297353CC}">
              <c16:uniqueId val="{00000003-3328-114E-A0D0-BD9D6288AB7B}"/>
            </c:ext>
          </c:extLst>
        </c:ser>
        <c:dLbls>
          <c:showLegendKey val="0"/>
          <c:showVal val="0"/>
          <c:showCatName val="0"/>
          <c:showSerName val="0"/>
          <c:showPercent val="0"/>
          <c:showBubbleSize val="0"/>
        </c:dLbls>
        <c:smooth val="0"/>
        <c:axId val="1685754144"/>
        <c:axId val="1685832624"/>
      </c:lineChart>
      <c:catAx>
        <c:axId val="168575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crossAx val="1685832624"/>
        <c:crosses val="autoZero"/>
        <c:auto val="1"/>
        <c:lblAlgn val="ctr"/>
        <c:lblOffset val="100"/>
        <c:noMultiLvlLbl val="0"/>
      </c:catAx>
      <c:valAx>
        <c:axId val="168583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crossAx val="168575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Household Social Insurance Payments INS</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title>
    <c:autoTitleDeleted val="0"/>
    <c:plotArea>
      <c:layout/>
      <c:lineChart>
        <c:grouping val="standard"/>
        <c:varyColors val="0"/>
        <c:ser>
          <c:idx val="0"/>
          <c:order val="0"/>
          <c:tx>
            <c:strRef>
              <c:f>insurancepay_full!$B$21:$B$22</c:f>
              <c:strCache>
                <c:ptCount val="2"/>
                <c:pt idx="0">
                  <c:v>Original</c:v>
                </c:pt>
              </c:strCache>
            </c:strRef>
          </c:tx>
          <c:spPr>
            <a:ln w="28575" cap="rnd">
              <a:solidFill>
                <a:schemeClr val="tx1"/>
              </a:solidFill>
              <a:round/>
            </a:ln>
            <a:effectLst/>
          </c:spPr>
          <c:marker>
            <c:symbol val="none"/>
          </c:marker>
          <c:cat>
            <c:strRef>
              <c:f>insurancepay_full!$A$23:$A$29</c:f>
              <c:strCache>
                <c:ptCount val="7"/>
                <c:pt idx="0">
                  <c:v>t-3</c:v>
                </c:pt>
                <c:pt idx="1">
                  <c:v>t-2</c:v>
                </c:pt>
                <c:pt idx="2">
                  <c:v>t-1</c:v>
                </c:pt>
                <c:pt idx="3">
                  <c:v>t</c:v>
                </c:pt>
                <c:pt idx="4">
                  <c:v>t+1</c:v>
                </c:pt>
                <c:pt idx="5">
                  <c:v>t+2</c:v>
                </c:pt>
                <c:pt idx="6">
                  <c:v>t+3</c:v>
                </c:pt>
              </c:strCache>
            </c:strRef>
          </c:cat>
          <c:val>
            <c:numRef>
              <c:f>insurancepay_full!$B$23:$B$29</c:f>
              <c:numCache>
                <c:formatCode>General</c:formatCode>
                <c:ptCount val="7"/>
                <c:pt idx="0">
                  <c:v>-596.42600000000004</c:v>
                </c:pt>
                <c:pt idx="1">
                  <c:v>-197.54470000000001</c:v>
                </c:pt>
                <c:pt idx="2">
                  <c:v>0</c:v>
                </c:pt>
                <c:pt idx="3">
                  <c:v>829.76149999999996</c:v>
                </c:pt>
                <c:pt idx="4">
                  <c:v>2376.2159999999999</c:v>
                </c:pt>
                <c:pt idx="5">
                  <c:v>4492.6149999999998</c:v>
                </c:pt>
                <c:pt idx="6">
                  <c:v>7697.6930000000002</c:v>
                </c:pt>
              </c:numCache>
            </c:numRef>
          </c:val>
          <c:smooth val="0"/>
          <c:extLst>
            <c:ext xmlns:c16="http://schemas.microsoft.com/office/drawing/2014/chart" uri="{C3380CC4-5D6E-409C-BE32-E72D297353CC}">
              <c16:uniqueId val="{00000002-6DEB-1745-A7B3-1D4DFB7797D5}"/>
            </c:ext>
          </c:extLst>
        </c:ser>
        <c:ser>
          <c:idx val="1"/>
          <c:order val="1"/>
          <c:tx>
            <c:strRef>
              <c:f>insurancepay_full!$C$21:$C$22</c:f>
              <c:strCache>
                <c:ptCount val="2"/>
                <c:pt idx="0">
                  <c:v>Extension</c:v>
                </c:pt>
              </c:strCache>
            </c:strRef>
          </c:tx>
          <c:spPr>
            <a:ln w="28575" cap="rnd">
              <a:solidFill>
                <a:srgbClr val="C00000"/>
              </a:solidFill>
              <a:prstDash val="dash"/>
              <a:round/>
            </a:ln>
            <a:effectLst/>
          </c:spPr>
          <c:marker>
            <c:symbol val="none"/>
          </c:marker>
          <c:cat>
            <c:strRef>
              <c:f>insurancepay_full!$A$23:$A$29</c:f>
              <c:strCache>
                <c:ptCount val="7"/>
                <c:pt idx="0">
                  <c:v>t-3</c:v>
                </c:pt>
                <c:pt idx="1">
                  <c:v>t-2</c:v>
                </c:pt>
                <c:pt idx="2">
                  <c:v>t-1</c:v>
                </c:pt>
                <c:pt idx="3">
                  <c:v>t</c:v>
                </c:pt>
                <c:pt idx="4">
                  <c:v>t+1</c:v>
                </c:pt>
                <c:pt idx="5">
                  <c:v>t+2</c:v>
                </c:pt>
                <c:pt idx="6">
                  <c:v>t+3</c:v>
                </c:pt>
              </c:strCache>
            </c:strRef>
          </c:cat>
          <c:val>
            <c:numRef>
              <c:f>insurancepay_full!$C$23:$C$29</c:f>
              <c:numCache>
                <c:formatCode>General</c:formatCode>
                <c:ptCount val="7"/>
                <c:pt idx="0">
                  <c:v>536.48220000000003</c:v>
                </c:pt>
                <c:pt idx="1">
                  <c:v>590.80939999999998</c:v>
                </c:pt>
                <c:pt idx="2">
                  <c:v>526.24980000000005</c:v>
                </c:pt>
                <c:pt idx="3">
                  <c:v>219.00749999999999</c:v>
                </c:pt>
                <c:pt idx="4">
                  <c:v>1117.8150000000001</c:v>
                </c:pt>
                <c:pt idx="5">
                  <c:v>3194.614</c:v>
                </c:pt>
                <c:pt idx="6">
                  <c:v>6046.4589999999998</c:v>
                </c:pt>
              </c:numCache>
            </c:numRef>
          </c:val>
          <c:smooth val="0"/>
          <c:extLst>
            <c:ext xmlns:c16="http://schemas.microsoft.com/office/drawing/2014/chart" uri="{C3380CC4-5D6E-409C-BE32-E72D297353CC}">
              <c16:uniqueId val="{00000003-6DEB-1745-A7B3-1D4DFB7797D5}"/>
            </c:ext>
          </c:extLst>
        </c:ser>
        <c:dLbls>
          <c:showLegendKey val="0"/>
          <c:showVal val="0"/>
          <c:showCatName val="0"/>
          <c:showSerName val="0"/>
          <c:showPercent val="0"/>
          <c:showBubbleSize val="0"/>
        </c:dLbls>
        <c:smooth val="0"/>
        <c:axId val="1685754144"/>
        <c:axId val="1685832624"/>
      </c:lineChart>
      <c:catAx>
        <c:axId val="168575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crossAx val="1685832624"/>
        <c:crosses val="autoZero"/>
        <c:auto val="1"/>
        <c:lblAlgn val="ctr"/>
        <c:lblOffset val="100"/>
        <c:noMultiLvlLbl val="0"/>
      </c:catAx>
      <c:valAx>
        <c:axId val="168583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crossAx val="168575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latin typeface="Times New Roman" panose="02020603050405020304" pitchFamily="18" charset="0"/>
          <a:cs typeface="Times New Roman" panose="02020603050405020304" pitchFamily="18" charset="0"/>
        </a:defRPr>
      </a:pPr>
      <a:endParaRPr lang="en-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Household Total Income INS</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title>
    <c:autoTitleDeleted val="0"/>
    <c:plotArea>
      <c:layout/>
      <c:lineChart>
        <c:grouping val="standard"/>
        <c:varyColors val="0"/>
        <c:ser>
          <c:idx val="0"/>
          <c:order val="0"/>
          <c:tx>
            <c:strRef>
              <c:f>insurancepay_full!$B$21:$B$22</c:f>
              <c:strCache>
                <c:ptCount val="2"/>
                <c:pt idx="0">
                  <c:v>Original</c:v>
                </c:pt>
              </c:strCache>
            </c:strRef>
          </c:tx>
          <c:spPr>
            <a:ln w="28575" cap="rnd">
              <a:solidFill>
                <a:schemeClr val="tx1"/>
              </a:solidFill>
              <a:round/>
            </a:ln>
            <a:effectLst/>
          </c:spPr>
          <c:marker>
            <c:symbol val="none"/>
          </c:marker>
          <c:cat>
            <c:strRef>
              <c:f>insurancepay_full!$A$23:$A$29</c:f>
              <c:strCache>
                <c:ptCount val="7"/>
                <c:pt idx="0">
                  <c:v>t-3</c:v>
                </c:pt>
                <c:pt idx="1">
                  <c:v>t-2</c:v>
                </c:pt>
                <c:pt idx="2">
                  <c:v>t-1</c:v>
                </c:pt>
                <c:pt idx="3">
                  <c:v>t</c:v>
                </c:pt>
                <c:pt idx="4">
                  <c:v>t+1</c:v>
                </c:pt>
                <c:pt idx="5">
                  <c:v>t+2</c:v>
                </c:pt>
                <c:pt idx="6">
                  <c:v>t+3</c:v>
                </c:pt>
              </c:strCache>
            </c:strRef>
          </c:cat>
          <c:val>
            <c:numRef>
              <c:f>insurancepay_full!$B$23:$B$29</c:f>
              <c:numCache>
                <c:formatCode>General</c:formatCode>
                <c:ptCount val="7"/>
                <c:pt idx="0">
                  <c:v>-596.42600000000004</c:v>
                </c:pt>
                <c:pt idx="1">
                  <c:v>-197.54470000000001</c:v>
                </c:pt>
                <c:pt idx="2">
                  <c:v>0</c:v>
                </c:pt>
                <c:pt idx="3">
                  <c:v>829.76149999999996</c:v>
                </c:pt>
                <c:pt idx="4">
                  <c:v>2376.2159999999999</c:v>
                </c:pt>
                <c:pt idx="5">
                  <c:v>4492.6149999999998</c:v>
                </c:pt>
                <c:pt idx="6">
                  <c:v>7697.6930000000002</c:v>
                </c:pt>
              </c:numCache>
            </c:numRef>
          </c:val>
          <c:smooth val="0"/>
          <c:extLst>
            <c:ext xmlns:c16="http://schemas.microsoft.com/office/drawing/2014/chart" uri="{C3380CC4-5D6E-409C-BE32-E72D297353CC}">
              <c16:uniqueId val="{00000000-EEE8-9E48-854B-AA67134EC0F1}"/>
            </c:ext>
          </c:extLst>
        </c:ser>
        <c:ser>
          <c:idx val="1"/>
          <c:order val="1"/>
          <c:tx>
            <c:strRef>
              <c:f>insurancepay_full!$C$21:$C$22</c:f>
              <c:strCache>
                <c:ptCount val="2"/>
                <c:pt idx="0">
                  <c:v>Extension</c:v>
                </c:pt>
              </c:strCache>
            </c:strRef>
          </c:tx>
          <c:spPr>
            <a:ln w="28575" cap="rnd">
              <a:solidFill>
                <a:srgbClr val="C00000"/>
              </a:solidFill>
              <a:prstDash val="dash"/>
              <a:round/>
            </a:ln>
            <a:effectLst/>
          </c:spPr>
          <c:marker>
            <c:symbol val="none"/>
          </c:marker>
          <c:cat>
            <c:strRef>
              <c:f>insurancepay_full!$A$23:$A$29</c:f>
              <c:strCache>
                <c:ptCount val="7"/>
                <c:pt idx="0">
                  <c:v>t-3</c:v>
                </c:pt>
                <c:pt idx="1">
                  <c:v>t-2</c:v>
                </c:pt>
                <c:pt idx="2">
                  <c:v>t-1</c:v>
                </c:pt>
                <c:pt idx="3">
                  <c:v>t</c:v>
                </c:pt>
                <c:pt idx="4">
                  <c:v>t+1</c:v>
                </c:pt>
                <c:pt idx="5">
                  <c:v>t+2</c:v>
                </c:pt>
                <c:pt idx="6">
                  <c:v>t+3</c:v>
                </c:pt>
              </c:strCache>
            </c:strRef>
          </c:cat>
          <c:val>
            <c:numRef>
              <c:f>insurancepay_full!$C$23:$C$29</c:f>
              <c:numCache>
                <c:formatCode>General</c:formatCode>
                <c:ptCount val="7"/>
                <c:pt idx="0">
                  <c:v>536.48220000000003</c:v>
                </c:pt>
                <c:pt idx="1">
                  <c:v>590.80939999999998</c:v>
                </c:pt>
                <c:pt idx="2">
                  <c:v>526.24980000000005</c:v>
                </c:pt>
                <c:pt idx="3">
                  <c:v>219.00749999999999</c:v>
                </c:pt>
                <c:pt idx="4">
                  <c:v>1117.8150000000001</c:v>
                </c:pt>
                <c:pt idx="5">
                  <c:v>3194.614</c:v>
                </c:pt>
                <c:pt idx="6">
                  <c:v>6046.4589999999998</c:v>
                </c:pt>
              </c:numCache>
            </c:numRef>
          </c:val>
          <c:smooth val="0"/>
          <c:extLst>
            <c:ext xmlns:c16="http://schemas.microsoft.com/office/drawing/2014/chart" uri="{C3380CC4-5D6E-409C-BE32-E72D297353CC}">
              <c16:uniqueId val="{00000001-EEE8-9E48-854B-AA67134EC0F1}"/>
            </c:ext>
          </c:extLst>
        </c:ser>
        <c:dLbls>
          <c:showLegendKey val="0"/>
          <c:showVal val="0"/>
          <c:showCatName val="0"/>
          <c:showSerName val="0"/>
          <c:showPercent val="0"/>
          <c:showBubbleSize val="0"/>
        </c:dLbls>
        <c:smooth val="0"/>
        <c:axId val="1685754144"/>
        <c:axId val="1685832624"/>
      </c:lineChart>
      <c:catAx>
        <c:axId val="168575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crossAx val="1685832624"/>
        <c:crosses val="autoZero"/>
        <c:auto val="1"/>
        <c:lblAlgn val="ctr"/>
        <c:lblOffset val="100"/>
        <c:noMultiLvlLbl val="0"/>
      </c:catAx>
      <c:valAx>
        <c:axId val="168583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crossAx val="168575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latin typeface="Times New Roman" panose="02020603050405020304" pitchFamily="18" charset="0"/>
          <a:cs typeface="Times New Roman" panose="02020603050405020304" pitchFamily="18" charset="0"/>
        </a:defRPr>
      </a:pPr>
      <a:endParaRPr lang="en-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12700</xdr:colOff>
      <xdr:row>2</xdr:row>
      <xdr:rowOff>19050</xdr:rowOff>
    </xdr:from>
    <xdr:to>
      <xdr:col>17</xdr:col>
      <xdr:colOff>381000</xdr:colOff>
      <xdr:row>28</xdr:row>
      <xdr:rowOff>12700</xdr:rowOff>
    </xdr:to>
    <xdr:graphicFrame macro="">
      <xdr:nvGraphicFramePr>
        <xdr:cNvPr id="3" name="Chart 2">
          <a:extLst>
            <a:ext uri="{FF2B5EF4-FFF2-40B4-BE49-F238E27FC236}">
              <a16:creationId xmlns:a16="http://schemas.microsoft.com/office/drawing/2014/main" id="{D15ED983-854B-5B6C-8E17-801DFE572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444500</xdr:colOff>
      <xdr:row>6</xdr:row>
      <xdr:rowOff>12700</xdr:rowOff>
    </xdr:from>
    <xdr:to>
      <xdr:col>18</xdr:col>
      <xdr:colOff>279400</xdr:colOff>
      <xdr:row>32</xdr:row>
      <xdr:rowOff>76200</xdr:rowOff>
    </xdr:to>
    <xdr:graphicFrame macro="">
      <xdr:nvGraphicFramePr>
        <xdr:cNvPr id="2" name="Chart 1">
          <a:extLst>
            <a:ext uri="{FF2B5EF4-FFF2-40B4-BE49-F238E27FC236}">
              <a16:creationId xmlns:a16="http://schemas.microsoft.com/office/drawing/2014/main" id="{466F1443-D7C2-6646-9AB0-511ED0B2D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304800</xdr:colOff>
      <xdr:row>2</xdr:row>
      <xdr:rowOff>50800</xdr:rowOff>
    </xdr:from>
    <xdr:to>
      <xdr:col>18</xdr:col>
      <xdr:colOff>25400</xdr:colOff>
      <xdr:row>28</xdr:row>
      <xdr:rowOff>101600</xdr:rowOff>
    </xdr:to>
    <xdr:graphicFrame macro="">
      <xdr:nvGraphicFramePr>
        <xdr:cNvPr id="2" name="Chart 1">
          <a:extLst>
            <a:ext uri="{FF2B5EF4-FFF2-40B4-BE49-F238E27FC236}">
              <a16:creationId xmlns:a16="http://schemas.microsoft.com/office/drawing/2014/main" id="{A909B1F2-7941-7E48-B639-4B3EFC853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711200</xdr:colOff>
      <xdr:row>1</xdr:row>
      <xdr:rowOff>152400</xdr:rowOff>
    </xdr:from>
    <xdr:to>
      <xdr:col>18</xdr:col>
      <xdr:colOff>787400</xdr:colOff>
      <xdr:row>29</xdr:row>
      <xdr:rowOff>38100</xdr:rowOff>
    </xdr:to>
    <xdr:graphicFrame macro="">
      <xdr:nvGraphicFramePr>
        <xdr:cNvPr id="2" name="Chart 1">
          <a:extLst>
            <a:ext uri="{FF2B5EF4-FFF2-40B4-BE49-F238E27FC236}">
              <a16:creationId xmlns:a16="http://schemas.microsoft.com/office/drawing/2014/main" id="{A9185E58-93F2-5040-B505-F23ECDA51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355600</xdr:colOff>
      <xdr:row>1</xdr:row>
      <xdr:rowOff>190500</xdr:rowOff>
    </xdr:from>
    <xdr:to>
      <xdr:col>18</xdr:col>
      <xdr:colOff>431800</xdr:colOff>
      <xdr:row>29</xdr:row>
      <xdr:rowOff>76200</xdr:rowOff>
    </xdr:to>
    <xdr:graphicFrame macro="">
      <xdr:nvGraphicFramePr>
        <xdr:cNvPr id="2" name="Chart 1">
          <a:extLst>
            <a:ext uri="{FF2B5EF4-FFF2-40B4-BE49-F238E27FC236}">
              <a16:creationId xmlns:a16="http://schemas.microsoft.com/office/drawing/2014/main" id="{3B7DE565-F011-0B4C-A590-EDB419E36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4</xdr:row>
      <xdr:rowOff>0</xdr:rowOff>
    </xdr:from>
    <xdr:to>
      <xdr:col>18</xdr:col>
      <xdr:colOff>76200</xdr:colOff>
      <xdr:row>31</xdr:row>
      <xdr:rowOff>88900</xdr:rowOff>
    </xdr:to>
    <xdr:graphicFrame macro="">
      <xdr:nvGraphicFramePr>
        <xdr:cNvPr id="2" name="Chart 1">
          <a:extLst>
            <a:ext uri="{FF2B5EF4-FFF2-40B4-BE49-F238E27FC236}">
              <a16:creationId xmlns:a16="http://schemas.microsoft.com/office/drawing/2014/main" id="{67AF7EFF-F834-694D-8A88-7FA7DDCD8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8D6E5-DEE8-F743-978E-994C5C321B98}">
  <dimension ref="A1:G19"/>
  <sheetViews>
    <sheetView showGridLines="0" view="pageLayout" zoomScale="120" zoomScaleNormal="140" zoomScalePageLayoutView="120" workbookViewId="0">
      <selection activeCell="E12" sqref="E12"/>
    </sheetView>
  </sheetViews>
  <sheetFormatPr baseColWidth="10" defaultColWidth="13.33203125" defaultRowHeight="15" x14ac:dyDescent="0.2"/>
  <cols>
    <col min="1" max="1" width="39.33203125" style="2" customWidth="1"/>
    <col min="2" max="4" width="15.1640625" style="20" customWidth="1"/>
    <col min="5" max="7" width="15.1640625" style="2" customWidth="1"/>
    <col min="8" max="256" width="13.33203125" style="2"/>
    <col min="257" max="257" width="39.33203125" style="2" customWidth="1"/>
    <col min="258" max="263" width="15.1640625" style="2" customWidth="1"/>
    <col min="264" max="512" width="13.33203125" style="2"/>
    <col min="513" max="513" width="39.33203125" style="2" customWidth="1"/>
    <col min="514" max="519" width="15.1640625" style="2" customWidth="1"/>
    <col min="520" max="768" width="13.33203125" style="2"/>
    <col min="769" max="769" width="39.33203125" style="2" customWidth="1"/>
    <col min="770" max="775" width="15.1640625" style="2" customWidth="1"/>
    <col min="776" max="1024" width="13.33203125" style="2"/>
    <col min="1025" max="1025" width="39.33203125" style="2" customWidth="1"/>
    <col min="1026" max="1031" width="15.1640625" style="2" customWidth="1"/>
    <col min="1032" max="1280" width="13.33203125" style="2"/>
    <col min="1281" max="1281" width="39.33203125" style="2" customWidth="1"/>
    <col min="1282" max="1287" width="15.1640625" style="2" customWidth="1"/>
    <col min="1288" max="1536" width="13.33203125" style="2"/>
    <col min="1537" max="1537" width="39.33203125" style="2" customWidth="1"/>
    <col min="1538" max="1543" width="15.1640625" style="2" customWidth="1"/>
    <col min="1544" max="1792" width="13.33203125" style="2"/>
    <col min="1793" max="1793" width="39.33203125" style="2" customWidth="1"/>
    <col min="1794" max="1799" width="15.1640625" style="2" customWidth="1"/>
    <col min="1800" max="2048" width="13.33203125" style="2"/>
    <col min="2049" max="2049" width="39.33203125" style="2" customWidth="1"/>
    <col min="2050" max="2055" width="15.1640625" style="2" customWidth="1"/>
    <col min="2056" max="2304" width="13.33203125" style="2"/>
    <col min="2305" max="2305" width="39.33203125" style="2" customWidth="1"/>
    <col min="2306" max="2311" width="15.1640625" style="2" customWidth="1"/>
    <col min="2312" max="2560" width="13.33203125" style="2"/>
    <col min="2561" max="2561" width="39.33203125" style="2" customWidth="1"/>
    <col min="2562" max="2567" width="15.1640625" style="2" customWidth="1"/>
    <col min="2568" max="2816" width="13.33203125" style="2"/>
    <col min="2817" max="2817" width="39.33203125" style="2" customWidth="1"/>
    <col min="2818" max="2823" width="15.1640625" style="2" customWidth="1"/>
    <col min="2824" max="3072" width="13.33203125" style="2"/>
    <col min="3073" max="3073" width="39.33203125" style="2" customWidth="1"/>
    <col min="3074" max="3079" width="15.1640625" style="2" customWidth="1"/>
    <col min="3080" max="3328" width="13.33203125" style="2"/>
    <col min="3329" max="3329" width="39.33203125" style="2" customWidth="1"/>
    <col min="3330" max="3335" width="15.1640625" style="2" customWidth="1"/>
    <col min="3336" max="3584" width="13.33203125" style="2"/>
    <col min="3585" max="3585" width="39.33203125" style="2" customWidth="1"/>
    <col min="3586" max="3591" width="15.1640625" style="2" customWidth="1"/>
    <col min="3592" max="3840" width="13.33203125" style="2"/>
    <col min="3841" max="3841" width="39.33203125" style="2" customWidth="1"/>
    <col min="3842" max="3847" width="15.1640625" style="2" customWidth="1"/>
    <col min="3848" max="4096" width="13.33203125" style="2"/>
    <col min="4097" max="4097" width="39.33203125" style="2" customWidth="1"/>
    <col min="4098" max="4103" width="15.1640625" style="2" customWidth="1"/>
    <col min="4104" max="4352" width="13.33203125" style="2"/>
    <col min="4353" max="4353" width="39.33203125" style="2" customWidth="1"/>
    <col min="4354" max="4359" width="15.1640625" style="2" customWidth="1"/>
    <col min="4360" max="4608" width="13.33203125" style="2"/>
    <col min="4609" max="4609" width="39.33203125" style="2" customWidth="1"/>
    <col min="4610" max="4615" width="15.1640625" style="2" customWidth="1"/>
    <col min="4616" max="4864" width="13.33203125" style="2"/>
    <col min="4865" max="4865" width="39.33203125" style="2" customWidth="1"/>
    <col min="4866" max="4871" width="15.1640625" style="2" customWidth="1"/>
    <col min="4872" max="5120" width="13.33203125" style="2"/>
    <col min="5121" max="5121" width="39.33203125" style="2" customWidth="1"/>
    <col min="5122" max="5127" width="15.1640625" style="2" customWidth="1"/>
    <col min="5128" max="5376" width="13.33203125" style="2"/>
    <col min="5377" max="5377" width="39.33203125" style="2" customWidth="1"/>
    <col min="5378" max="5383" width="15.1640625" style="2" customWidth="1"/>
    <col min="5384" max="5632" width="13.33203125" style="2"/>
    <col min="5633" max="5633" width="39.33203125" style="2" customWidth="1"/>
    <col min="5634" max="5639" width="15.1640625" style="2" customWidth="1"/>
    <col min="5640" max="5888" width="13.33203125" style="2"/>
    <col min="5889" max="5889" width="39.33203125" style="2" customWidth="1"/>
    <col min="5890" max="5895" width="15.1640625" style="2" customWidth="1"/>
    <col min="5896" max="6144" width="13.33203125" style="2"/>
    <col min="6145" max="6145" width="39.33203125" style="2" customWidth="1"/>
    <col min="6146" max="6151" width="15.1640625" style="2" customWidth="1"/>
    <col min="6152" max="6400" width="13.33203125" style="2"/>
    <col min="6401" max="6401" width="39.33203125" style="2" customWidth="1"/>
    <col min="6402" max="6407" width="15.1640625" style="2" customWidth="1"/>
    <col min="6408" max="6656" width="13.33203125" style="2"/>
    <col min="6657" max="6657" width="39.33203125" style="2" customWidth="1"/>
    <col min="6658" max="6663" width="15.1640625" style="2" customWidth="1"/>
    <col min="6664" max="6912" width="13.33203125" style="2"/>
    <col min="6913" max="6913" width="39.33203125" style="2" customWidth="1"/>
    <col min="6914" max="6919" width="15.1640625" style="2" customWidth="1"/>
    <col min="6920" max="7168" width="13.33203125" style="2"/>
    <col min="7169" max="7169" width="39.33203125" style="2" customWidth="1"/>
    <col min="7170" max="7175" width="15.1640625" style="2" customWidth="1"/>
    <col min="7176" max="7424" width="13.33203125" style="2"/>
    <col min="7425" max="7425" width="39.33203125" style="2" customWidth="1"/>
    <col min="7426" max="7431" width="15.1640625" style="2" customWidth="1"/>
    <col min="7432" max="7680" width="13.33203125" style="2"/>
    <col min="7681" max="7681" width="39.33203125" style="2" customWidth="1"/>
    <col min="7682" max="7687" width="15.1640625" style="2" customWidth="1"/>
    <col min="7688" max="7936" width="13.33203125" style="2"/>
    <col min="7937" max="7937" width="39.33203125" style="2" customWidth="1"/>
    <col min="7938" max="7943" width="15.1640625" style="2" customWidth="1"/>
    <col min="7944" max="8192" width="13.33203125" style="2"/>
    <col min="8193" max="8193" width="39.33203125" style="2" customWidth="1"/>
    <col min="8194" max="8199" width="15.1640625" style="2" customWidth="1"/>
    <col min="8200" max="8448" width="13.33203125" style="2"/>
    <col min="8449" max="8449" width="39.33203125" style="2" customWidth="1"/>
    <col min="8450" max="8455" width="15.1640625" style="2" customWidth="1"/>
    <col min="8456" max="8704" width="13.33203125" style="2"/>
    <col min="8705" max="8705" width="39.33203125" style="2" customWidth="1"/>
    <col min="8706" max="8711" width="15.1640625" style="2" customWidth="1"/>
    <col min="8712" max="8960" width="13.33203125" style="2"/>
    <col min="8961" max="8961" width="39.33203125" style="2" customWidth="1"/>
    <col min="8962" max="8967" width="15.1640625" style="2" customWidth="1"/>
    <col min="8968" max="9216" width="13.33203125" style="2"/>
    <col min="9217" max="9217" width="39.33203125" style="2" customWidth="1"/>
    <col min="9218" max="9223" width="15.1640625" style="2" customWidth="1"/>
    <col min="9224" max="9472" width="13.33203125" style="2"/>
    <col min="9473" max="9473" width="39.33203125" style="2" customWidth="1"/>
    <col min="9474" max="9479" width="15.1640625" style="2" customWidth="1"/>
    <col min="9480" max="9728" width="13.33203125" style="2"/>
    <col min="9729" max="9729" width="39.33203125" style="2" customWidth="1"/>
    <col min="9730" max="9735" width="15.1640625" style="2" customWidth="1"/>
    <col min="9736" max="9984" width="13.33203125" style="2"/>
    <col min="9985" max="9985" width="39.33203125" style="2" customWidth="1"/>
    <col min="9986" max="9991" width="15.1640625" style="2" customWidth="1"/>
    <col min="9992" max="10240" width="13.33203125" style="2"/>
    <col min="10241" max="10241" width="39.33203125" style="2" customWidth="1"/>
    <col min="10242" max="10247" width="15.1640625" style="2" customWidth="1"/>
    <col min="10248" max="10496" width="13.33203125" style="2"/>
    <col min="10497" max="10497" width="39.33203125" style="2" customWidth="1"/>
    <col min="10498" max="10503" width="15.1640625" style="2" customWidth="1"/>
    <col min="10504" max="10752" width="13.33203125" style="2"/>
    <col min="10753" max="10753" width="39.33203125" style="2" customWidth="1"/>
    <col min="10754" max="10759" width="15.1640625" style="2" customWidth="1"/>
    <col min="10760" max="11008" width="13.33203125" style="2"/>
    <col min="11009" max="11009" width="39.33203125" style="2" customWidth="1"/>
    <col min="11010" max="11015" width="15.1640625" style="2" customWidth="1"/>
    <col min="11016" max="11264" width="13.33203125" style="2"/>
    <col min="11265" max="11265" width="39.33203125" style="2" customWidth="1"/>
    <col min="11266" max="11271" width="15.1640625" style="2" customWidth="1"/>
    <col min="11272" max="11520" width="13.33203125" style="2"/>
    <col min="11521" max="11521" width="39.33203125" style="2" customWidth="1"/>
    <col min="11522" max="11527" width="15.1640625" style="2" customWidth="1"/>
    <col min="11528" max="11776" width="13.33203125" style="2"/>
    <col min="11777" max="11777" width="39.33203125" style="2" customWidth="1"/>
    <col min="11778" max="11783" width="15.1640625" style="2" customWidth="1"/>
    <col min="11784" max="12032" width="13.33203125" style="2"/>
    <col min="12033" max="12033" width="39.33203125" style="2" customWidth="1"/>
    <col min="12034" max="12039" width="15.1640625" style="2" customWidth="1"/>
    <col min="12040" max="12288" width="13.33203125" style="2"/>
    <col min="12289" max="12289" width="39.33203125" style="2" customWidth="1"/>
    <col min="12290" max="12295" width="15.1640625" style="2" customWidth="1"/>
    <col min="12296" max="12544" width="13.33203125" style="2"/>
    <col min="12545" max="12545" width="39.33203125" style="2" customWidth="1"/>
    <col min="12546" max="12551" width="15.1640625" style="2" customWidth="1"/>
    <col min="12552" max="12800" width="13.33203125" style="2"/>
    <col min="12801" max="12801" width="39.33203125" style="2" customWidth="1"/>
    <col min="12802" max="12807" width="15.1640625" style="2" customWidth="1"/>
    <col min="12808" max="13056" width="13.33203125" style="2"/>
    <col min="13057" max="13057" width="39.33203125" style="2" customWidth="1"/>
    <col min="13058" max="13063" width="15.1640625" style="2" customWidth="1"/>
    <col min="13064" max="13312" width="13.33203125" style="2"/>
    <col min="13313" max="13313" width="39.33203125" style="2" customWidth="1"/>
    <col min="13314" max="13319" width="15.1640625" style="2" customWidth="1"/>
    <col min="13320" max="13568" width="13.33203125" style="2"/>
    <col min="13569" max="13569" width="39.33203125" style="2" customWidth="1"/>
    <col min="13570" max="13575" width="15.1640625" style="2" customWidth="1"/>
    <col min="13576" max="13824" width="13.33203125" style="2"/>
    <col min="13825" max="13825" width="39.33203125" style="2" customWidth="1"/>
    <col min="13826" max="13831" width="15.1640625" style="2" customWidth="1"/>
    <col min="13832" max="14080" width="13.33203125" style="2"/>
    <col min="14081" max="14081" width="39.33203125" style="2" customWidth="1"/>
    <col min="14082" max="14087" width="15.1640625" style="2" customWidth="1"/>
    <col min="14088" max="14336" width="13.33203125" style="2"/>
    <col min="14337" max="14337" width="39.33203125" style="2" customWidth="1"/>
    <col min="14338" max="14343" width="15.1640625" style="2" customWidth="1"/>
    <col min="14344" max="14592" width="13.33203125" style="2"/>
    <col min="14593" max="14593" width="39.33203125" style="2" customWidth="1"/>
    <col min="14594" max="14599" width="15.1640625" style="2" customWidth="1"/>
    <col min="14600" max="14848" width="13.33203125" style="2"/>
    <col min="14849" max="14849" width="39.33203125" style="2" customWidth="1"/>
    <col min="14850" max="14855" width="15.1640625" style="2" customWidth="1"/>
    <col min="14856" max="15104" width="13.33203125" style="2"/>
    <col min="15105" max="15105" width="39.33203125" style="2" customWidth="1"/>
    <col min="15106" max="15111" width="15.1640625" style="2" customWidth="1"/>
    <col min="15112" max="15360" width="13.33203125" style="2"/>
    <col min="15361" max="15361" width="39.33203125" style="2" customWidth="1"/>
    <col min="15362" max="15367" width="15.1640625" style="2" customWidth="1"/>
    <col min="15368" max="15616" width="13.33203125" style="2"/>
    <col min="15617" max="15617" width="39.33203125" style="2" customWidth="1"/>
    <col min="15618" max="15623" width="15.1640625" style="2" customWidth="1"/>
    <col min="15624" max="15872" width="13.33203125" style="2"/>
    <col min="15873" max="15873" width="39.33203125" style="2" customWidth="1"/>
    <col min="15874" max="15879" width="15.1640625" style="2" customWidth="1"/>
    <col min="15880" max="16128" width="13.33203125" style="2"/>
    <col min="16129" max="16129" width="39.33203125" style="2" customWidth="1"/>
    <col min="16130" max="16135" width="15.1640625" style="2" customWidth="1"/>
    <col min="16136" max="16384" width="13.33203125" style="2"/>
  </cols>
  <sheetData>
    <row r="1" spans="1:7" ht="55" customHeight="1" thickBot="1" x14ac:dyDescent="0.25">
      <c r="A1" s="26" t="s">
        <v>35</v>
      </c>
      <c r="B1" s="26"/>
      <c r="C1" s="26"/>
      <c r="D1" s="26"/>
      <c r="E1" s="26"/>
      <c r="F1" s="26"/>
      <c r="G1" s="26"/>
    </row>
    <row r="2" spans="1:7" s="5" customFormat="1" ht="46" thickTop="1" x14ac:dyDescent="0.2">
      <c r="A2" s="3"/>
      <c r="B2" s="4" t="s">
        <v>23</v>
      </c>
      <c r="C2" s="4" t="s">
        <v>24</v>
      </c>
      <c r="D2" s="4" t="s">
        <v>25</v>
      </c>
      <c r="E2" s="4" t="s">
        <v>26</v>
      </c>
      <c r="F2" s="4" t="s">
        <v>27</v>
      </c>
      <c r="G2" s="4" t="s">
        <v>28</v>
      </c>
    </row>
    <row r="3" spans="1:7" x14ac:dyDescent="0.2">
      <c r="A3" s="6"/>
      <c r="B3" s="7">
        <v>-1</v>
      </c>
      <c r="C3" s="7">
        <v>-2</v>
      </c>
      <c r="D3" s="7">
        <v>-3</v>
      </c>
      <c r="E3" s="7">
        <v>-4</v>
      </c>
      <c r="F3" s="7">
        <v>-5</v>
      </c>
      <c r="G3" s="7">
        <v>-6</v>
      </c>
    </row>
    <row r="4" spans="1:7" x14ac:dyDescent="0.2">
      <c r="A4" s="8"/>
      <c r="B4" s="8"/>
      <c r="C4" s="8"/>
      <c r="D4" s="8"/>
      <c r="E4" s="8"/>
      <c r="F4" s="8"/>
      <c r="G4" s="8"/>
    </row>
    <row r="5" spans="1:7" s="12" customFormat="1" x14ac:dyDescent="0.2">
      <c r="A5" s="9" t="s">
        <v>29</v>
      </c>
      <c r="B5" s="23">
        <f>+oop_spend_full!B6</f>
        <v>1935.019</v>
      </c>
      <c r="C5" s="23">
        <f>+earnings_full!B6</f>
        <v>-3396.1959999999999</v>
      </c>
      <c r="D5" s="23">
        <f>+working_full!B6</f>
        <v>-8.7711500000000004</v>
      </c>
      <c r="E5" s="23">
        <f>+spousal_full!B6</f>
        <v>2734.4</v>
      </c>
      <c r="F5" s="23">
        <f>+insurancepay_full!B6</f>
        <v>219.00749999999999</v>
      </c>
      <c r="G5" s="23">
        <f>+hitot_full!B6</f>
        <v>-1137.548</v>
      </c>
    </row>
    <row r="6" spans="1:7" s="15" customFormat="1" x14ac:dyDescent="0.2">
      <c r="A6" s="13"/>
      <c r="B6" s="14" t="str">
        <f>"("&amp;+oop_spend_full!C6&amp;")"</f>
        <v>(233.906)</v>
      </c>
      <c r="C6" s="10" t="str">
        <f>"("&amp;+earnings_full!C6&amp;")"</f>
        <v>(1394.882)</v>
      </c>
      <c r="D6" s="14" t="str">
        <f>"("&amp;+working_full!C6&amp;")"</f>
        <v>(1.382723)</v>
      </c>
      <c r="E6" s="11" t="str">
        <f>"("&amp;+spousal_full!C6&amp;")"</f>
        <v>(1570.905)</v>
      </c>
      <c r="F6" s="11" t="str">
        <f>"("&amp;+insurancepay_full!C6&amp;")"</f>
        <v>(187.9291)</v>
      </c>
      <c r="G6" s="11" t="str">
        <f>"("&amp;+hitot_full!C6&amp;")"</f>
        <v>(2119.456)</v>
      </c>
    </row>
    <row r="7" spans="1:7" x14ac:dyDescent="0.2">
      <c r="A7" s="16" t="s">
        <v>30</v>
      </c>
      <c r="B7" s="11" t="str">
        <f>"["&amp;+oop_spend_full!E6&amp;"]"</f>
        <v>[0]</v>
      </c>
      <c r="C7" s="11" t="str">
        <f>"["&amp;+earnings_full!E6&amp;"]"</f>
        <v>[0.015]</v>
      </c>
      <c r="D7" s="11" t="str">
        <f>"["&amp;+working_full!E6&amp;"]"</f>
        <v>[0]</v>
      </c>
      <c r="E7" s="11" t="str">
        <f>"["&amp;+spousal_full!E6&amp;"]"</f>
        <v>[0.082]</v>
      </c>
      <c r="F7" s="11" t="str">
        <f>"["&amp;+insurancepay_full!E6&amp;"]"</f>
        <v>[0.244]</v>
      </c>
      <c r="G7" s="11" t="str">
        <f>"["&amp;+hitot_full!E6&amp;"]"</f>
        <v>[0.591]</v>
      </c>
    </row>
    <row r="8" spans="1:7" x14ac:dyDescent="0.2">
      <c r="A8" s="9" t="s">
        <v>31</v>
      </c>
      <c r="B8" s="23">
        <f>+oop_spend_full!B8</f>
        <v>1124.3800000000001</v>
      </c>
      <c r="C8" s="23">
        <f>+earnings_full!B8</f>
        <v>-15369.72</v>
      </c>
      <c r="D8" s="23">
        <f>+working_full!B8</f>
        <v>-20.975069999999999</v>
      </c>
      <c r="E8" s="23">
        <f>+spousal_full!B8</f>
        <v>4324.9110000000001</v>
      </c>
      <c r="F8" s="23">
        <f>+insurancepay_full!B8</f>
        <v>3194.614</v>
      </c>
      <c r="G8" s="23">
        <f>+hitot_full!B8</f>
        <v>-6644.152</v>
      </c>
    </row>
    <row r="9" spans="1:7" x14ac:dyDescent="0.2">
      <c r="A9" s="13"/>
      <c r="B9" s="11" t="str">
        <f>"("&amp;+oop_spend_full!C8&amp;")"</f>
        <v>(397.8346)</v>
      </c>
      <c r="C9" s="11" t="str">
        <f>"("&amp;+earnings_full!C8&amp;")"</f>
        <v>(2261.287)</v>
      </c>
      <c r="D9" s="11" t="str">
        <f>"("&amp;+working_full!C8&amp;")"</f>
        <v>(3.00165)</v>
      </c>
      <c r="E9" s="11" t="str">
        <f>"("&amp;+spousal_full!C8&amp;")"</f>
        <v>(2893.974)</v>
      </c>
      <c r="F9" s="11" t="str">
        <f>"("&amp;+insurancepay_full!C8&amp;")"</f>
        <v>(554.7457)</v>
      </c>
      <c r="G9" s="11" t="str">
        <f>"("&amp;+hitot_full!C8&amp;")"</f>
        <v>(3755.448)</v>
      </c>
    </row>
    <row r="10" spans="1:7" s="15" customFormat="1" x14ac:dyDescent="0.2">
      <c r="A10" s="13"/>
      <c r="B10" s="14" t="str">
        <f>"["&amp;+oop_spend_full!E8&amp;"]"</f>
        <v>[0.005]</v>
      </c>
      <c r="C10" s="14" t="str">
        <f>"["&amp;+earnings_full!E8&amp;"]"</f>
        <v>[0]</v>
      </c>
      <c r="D10" s="14" t="str">
        <f>"["&amp;+working_full!E8&amp;"]"</f>
        <v>[0]</v>
      </c>
      <c r="E10" s="11" t="str">
        <f>"["&amp;+spousal_full!E8&amp;"]"</f>
        <v>[0.135]</v>
      </c>
      <c r="F10" s="11" t="str">
        <f>"["&amp;+insurancepay_full!E8&amp;"]"</f>
        <v>[0]</v>
      </c>
      <c r="G10" s="11" t="str">
        <f>"["&amp;+hitot_full!E8&amp;"]"</f>
        <v>[0.077]</v>
      </c>
    </row>
    <row r="11" spans="1:7" x14ac:dyDescent="0.2">
      <c r="A11" s="16" t="s">
        <v>30</v>
      </c>
      <c r="B11" s="11"/>
      <c r="C11" s="11"/>
      <c r="D11" s="11"/>
      <c r="E11" s="11"/>
      <c r="F11" s="11"/>
      <c r="G11" s="11"/>
    </row>
    <row r="12" spans="1:7" x14ac:dyDescent="0.2">
      <c r="A12" s="9" t="s">
        <v>32</v>
      </c>
      <c r="B12" s="23">
        <f>+AVERAGE(oop_spend_full!B11:B13)</f>
        <v>42.401033333333338</v>
      </c>
      <c r="C12" s="23">
        <f>+AVERAGE(earnings_full!B11:B13)</f>
        <v>-1908.1359666666667</v>
      </c>
      <c r="D12" s="23">
        <f>+AVERAGE(working_full!B11:B13)</f>
        <v>3.8265129999999998</v>
      </c>
      <c r="E12" s="23">
        <f>+AVERAGE(spousal_full!B11:B13)</f>
        <v>7004.7183333333342</v>
      </c>
      <c r="F12" s="23">
        <f>+AVERAGE(insurancepay_full!B11:B13)</f>
        <v>551.18046666666669</v>
      </c>
      <c r="G12" s="23">
        <f>+AVERAGE(hitot_full!B11:B13)</f>
        <v>5094.3933333333334</v>
      </c>
    </row>
    <row r="13" spans="1:7" x14ac:dyDescent="0.2">
      <c r="A13" s="16" t="s">
        <v>33</v>
      </c>
      <c r="B13" s="17">
        <f>+oop_spend_full!H2</f>
        <v>8574</v>
      </c>
      <c r="C13" s="17">
        <f>+earnings_full!H2</f>
        <v>8574</v>
      </c>
      <c r="D13" s="17">
        <f>+working_full!H2</f>
        <v>8574</v>
      </c>
      <c r="E13" s="17">
        <f>+spousal_full!H2</f>
        <v>8574</v>
      </c>
      <c r="F13" s="17">
        <f>+insurancepay_full!H2</f>
        <v>8574</v>
      </c>
      <c r="G13" s="17">
        <f>+hitot_full!H2</f>
        <v>8574</v>
      </c>
    </row>
    <row r="14" spans="1:7" x14ac:dyDescent="0.2">
      <c r="A14" s="16"/>
      <c r="B14" s="17"/>
      <c r="C14" s="11"/>
      <c r="D14" s="11"/>
      <c r="E14" s="11"/>
      <c r="F14" s="11"/>
      <c r="G14" s="11"/>
    </row>
    <row r="15" spans="1:7" ht="16" thickBot="1" x14ac:dyDescent="0.25">
      <c r="A15" s="18"/>
      <c r="B15" s="19"/>
      <c r="C15" s="19"/>
      <c r="D15" s="19"/>
      <c r="E15" s="19"/>
      <c r="F15" s="19"/>
      <c r="G15" s="19"/>
    </row>
    <row r="16" spans="1:7" ht="16" thickTop="1" x14ac:dyDescent="0.2"/>
    <row r="17" spans="1:7" x14ac:dyDescent="0.2">
      <c r="A17" s="27" t="s">
        <v>34</v>
      </c>
      <c r="B17" s="27"/>
      <c r="C17" s="27"/>
      <c r="D17" s="27"/>
      <c r="E17" s="27"/>
      <c r="F17" s="27"/>
      <c r="G17" s="27"/>
    </row>
    <row r="19" spans="1:7" x14ac:dyDescent="0.2">
      <c r="A19" s="21"/>
      <c r="B19" s="11"/>
      <c r="C19" s="11"/>
      <c r="D19" s="11"/>
      <c r="E19" s="11"/>
      <c r="F19" s="11"/>
      <c r="G19" s="11"/>
    </row>
  </sheetData>
  <mergeCells count="2">
    <mergeCell ref="A1:G1"/>
    <mergeCell ref="A17:G17"/>
  </mergeCells>
  <pageMargins left="0.7" right="0.7" top="0.75" bottom="0.75" header="0.3" footer="0.3"/>
  <pageSetup scale="88" orientation="landscape" horizontalDpi="0" verticalDpi="0"/>
  <ignoredErrors>
    <ignoredError sqref="B12:G12"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776FE-18F0-7940-92B9-290BAF3C3523}">
  <dimension ref="A1:G19"/>
  <sheetViews>
    <sheetView zoomScale="170" zoomScaleNormal="170" workbookViewId="0">
      <selection activeCell="B5" sqref="B5"/>
    </sheetView>
  </sheetViews>
  <sheetFormatPr baseColWidth="10" defaultColWidth="13.33203125" defaultRowHeight="15" x14ac:dyDescent="0.2"/>
  <cols>
    <col min="1" max="1" width="39.33203125" style="2" customWidth="1"/>
    <col min="2" max="4" width="15.1640625" style="20" customWidth="1"/>
    <col min="5" max="7" width="15.1640625" style="2" customWidth="1"/>
    <col min="8" max="256" width="13.33203125" style="2"/>
    <col min="257" max="257" width="39.33203125" style="2" customWidth="1"/>
    <col min="258" max="263" width="15.1640625" style="2" customWidth="1"/>
    <col min="264" max="512" width="13.33203125" style="2"/>
    <col min="513" max="513" width="39.33203125" style="2" customWidth="1"/>
    <col min="514" max="519" width="15.1640625" style="2" customWidth="1"/>
    <col min="520" max="768" width="13.33203125" style="2"/>
    <col min="769" max="769" width="39.33203125" style="2" customWidth="1"/>
    <col min="770" max="775" width="15.1640625" style="2" customWidth="1"/>
    <col min="776" max="1024" width="13.33203125" style="2"/>
    <col min="1025" max="1025" width="39.33203125" style="2" customWidth="1"/>
    <col min="1026" max="1031" width="15.1640625" style="2" customWidth="1"/>
    <col min="1032" max="1280" width="13.33203125" style="2"/>
    <col min="1281" max="1281" width="39.33203125" style="2" customWidth="1"/>
    <col min="1282" max="1287" width="15.1640625" style="2" customWidth="1"/>
    <col min="1288" max="1536" width="13.33203125" style="2"/>
    <col min="1537" max="1537" width="39.33203125" style="2" customWidth="1"/>
    <col min="1538" max="1543" width="15.1640625" style="2" customWidth="1"/>
    <col min="1544" max="1792" width="13.33203125" style="2"/>
    <col min="1793" max="1793" width="39.33203125" style="2" customWidth="1"/>
    <col min="1794" max="1799" width="15.1640625" style="2" customWidth="1"/>
    <col min="1800" max="2048" width="13.33203125" style="2"/>
    <col min="2049" max="2049" width="39.33203125" style="2" customWidth="1"/>
    <col min="2050" max="2055" width="15.1640625" style="2" customWidth="1"/>
    <col min="2056" max="2304" width="13.33203125" style="2"/>
    <col min="2305" max="2305" width="39.33203125" style="2" customWidth="1"/>
    <col min="2306" max="2311" width="15.1640625" style="2" customWidth="1"/>
    <col min="2312" max="2560" width="13.33203125" style="2"/>
    <col min="2561" max="2561" width="39.33203125" style="2" customWidth="1"/>
    <col min="2562" max="2567" width="15.1640625" style="2" customWidth="1"/>
    <col min="2568" max="2816" width="13.33203125" style="2"/>
    <col min="2817" max="2817" width="39.33203125" style="2" customWidth="1"/>
    <col min="2818" max="2823" width="15.1640625" style="2" customWidth="1"/>
    <col min="2824" max="3072" width="13.33203125" style="2"/>
    <col min="3073" max="3073" width="39.33203125" style="2" customWidth="1"/>
    <col min="3074" max="3079" width="15.1640625" style="2" customWidth="1"/>
    <col min="3080" max="3328" width="13.33203125" style="2"/>
    <col min="3329" max="3329" width="39.33203125" style="2" customWidth="1"/>
    <col min="3330" max="3335" width="15.1640625" style="2" customWidth="1"/>
    <col min="3336" max="3584" width="13.33203125" style="2"/>
    <col min="3585" max="3585" width="39.33203125" style="2" customWidth="1"/>
    <col min="3586" max="3591" width="15.1640625" style="2" customWidth="1"/>
    <col min="3592" max="3840" width="13.33203125" style="2"/>
    <col min="3841" max="3841" width="39.33203125" style="2" customWidth="1"/>
    <col min="3842" max="3847" width="15.1640625" style="2" customWidth="1"/>
    <col min="3848" max="4096" width="13.33203125" style="2"/>
    <col min="4097" max="4097" width="39.33203125" style="2" customWidth="1"/>
    <col min="4098" max="4103" width="15.1640625" style="2" customWidth="1"/>
    <col min="4104" max="4352" width="13.33203125" style="2"/>
    <col min="4353" max="4353" width="39.33203125" style="2" customWidth="1"/>
    <col min="4354" max="4359" width="15.1640625" style="2" customWidth="1"/>
    <col min="4360" max="4608" width="13.33203125" style="2"/>
    <col min="4609" max="4609" width="39.33203125" style="2" customWidth="1"/>
    <col min="4610" max="4615" width="15.1640625" style="2" customWidth="1"/>
    <col min="4616" max="4864" width="13.33203125" style="2"/>
    <col min="4865" max="4865" width="39.33203125" style="2" customWidth="1"/>
    <col min="4866" max="4871" width="15.1640625" style="2" customWidth="1"/>
    <col min="4872" max="5120" width="13.33203125" style="2"/>
    <col min="5121" max="5121" width="39.33203125" style="2" customWidth="1"/>
    <col min="5122" max="5127" width="15.1640625" style="2" customWidth="1"/>
    <col min="5128" max="5376" width="13.33203125" style="2"/>
    <col min="5377" max="5377" width="39.33203125" style="2" customWidth="1"/>
    <col min="5378" max="5383" width="15.1640625" style="2" customWidth="1"/>
    <col min="5384" max="5632" width="13.33203125" style="2"/>
    <col min="5633" max="5633" width="39.33203125" style="2" customWidth="1"/>
    <col min="5634" max="5639" width="15.1640625" style="2" customWidth="1"/>
    <col min="5640" max="5888" width="13.33203125" style="2"/>
    <col min="5889" max="5889" width="39.33203125" style="2" customWidth="1"/>
    <col min="5890" max="5895" width="15.1640625" style="2" customWidth="1"/>
    <col min="5896" max="6144" width="13.33203125" style="2"/>
    <col min="6145" max="6145" width="39.33203125" style="2" customWidth="1"/>
    <col min="6146" max="6151" width="15.1640625" style="2" customWidth="1"/>
    <col min="6152" max="6400" width="13.33203125" style="2"/>
    <col min="6401" max="6401" width="39.33203125" style="2" customWidth="1"/>
    <col min="6402" max="6407" width="15.1640625" style="2" customWidth="1"/>
    <col min="6408" max="6656" width="13.33203125" style="2"/>
    <col min="6657" max="6657" width="39.33203125" style="2" customWidth="1"/>
    <col min="6658" max="6663" width="15.1640625" style="2" customWidth="1"/>
    <col min="6664" max="6912" width="13.33203125" style="2"/>
    <col min="6913" max="6913" width="39.33203125" style="2" customWidth="1"/>
    <col min="6914" max="6919" width="15.1640625" style="2" customWidth="1"/>
    <col min="6920" max="7168" width="13.33203125" style="2"/>
    <col min="7169" max="7169" width="39.33203125" style="2" customWidth="1"/>
    <col min="7170" max="7175" width="15.1640625" style="2" customWidth="1"/>
    <col min="7176" max="7424" width="13.33203125" style="2"/>
    <col min="7425" max="7425" width="39.33203125" style="2" customWidth="1"/>
    <col min="7426" max="7431" width="15.1640625" style="2" customWidth="1"/>
    <col min="7432" max="7680" width="13.33203125" style="2"/>
    <col min="7681" max="7681" width="39.33203125" style="2" customWidth="1"/>
    <col min="7682" max="7687" width="15.1640625" style="2" customWidth="1"/>
    <col min="7688" max="7936" width="13.33203125" style="2"/>
    <col min="7937" max="7937" width="39.33203125" style="2" customWidth="1"/>
    <col min="7938" max="7943" width="15.1640625" style="2" customWidth="1"/>
    <col min="7944" max="8192" width="13.33203125" style="2"/>
    <col min="8193" max="8193" width="39.33203125" style="2" customWidth="1"/>
    <col min="8194" max="8199" width="15.1640625" style="2" customWidth="1"/>
    <col min="8200" max="8448" width="13.33203125" style="2"/>
    <col min="8449" max="8449" width="39.33203125" style="2" customWidth="1"/>
    <col min="8450" max="8455" width="15.1640625" style="2" customWidth="1"/>
    <col min="8456" max="8704" width="13.33203125" style="2"/>
    <col min="8705" max="8705" width="39.33203125" style="2" customWidth="1"/>
    <col min="8706" max="8711" width="15.1640625" style="2" customWidth="1"/>
    <col min="8712" max="8960" width="13.33203125" style="2"/>
    <col min="8961" max="8961" width="39.33203125" style="2" customWidth="1"/>
    <col min="8962" max="8967" width="15.1640625" style="2" customWidth="1"/>
    <col min="8968" max="9216" width="13.33203125" style="2"/>
    <col min="9217" max="9217" width="39.33203125" style="2" customWidth="1"/>
    <col min="9218" max="9223" width="15.1640625" style="2" customWidth="1"/>
    <col min="9224" max="9472" width="13.33203125" style="2"/>
    <col min="9473" max="9473" width="39.33203125" style="2" customWidth="1"/>
    <col min="9474" max="9479" width="15.1640625" style="2" customWidth="1"/>
    <col min="9480" max="9728" width="13.33203125" style="2"/>
    <col min="9729" max="9729" width="39.33203125" style="2" customWidth="1"/>
    <col min="9730" max="9735" width="15.1640625" style="2" customWidth="1"/>
    <col min="9736" max="9984" width="13.33203125" style="2"/>
    <col min="9985" max="9985" width="39.33203125" style="2" customWidth="1"/>
    <col min="9986" max="9991" width="15.1640625" style="2" customWidth="1"/>
    <col min="9992" max="10240" width="13.33203125" style="2"/>
    <col min="10241" max="10241" width="39.33203125" style="2" customWidth="1"/>
    <col min="10242" max="10247" width="15.1640625" style="2" customWidth="1"/>
    <col min="10248" max="10496" width="13.33203125" style="2"/>
    <col min="10497" max="10497" width="39.33203125" style="2" customWidth="1"/>
    <col min="10498" max="10503" width="15.1640625" style="2" customWidth="1"/>
    <col min="10504" max="10752" width="13.33203125" style="2"/>
    <col min="10753" max="10753" width="39.33203125" style="2" customWidth="1"/>
    <col min="10754" max="10759" width="15.1640625" style="2" customWidth="1"/>
    <col min="10760" max="11008" width="13.33203125" style="2"/>
    <col min="11009" max="11009" width="39.33203125" style="2" customWidth="1"/>
    <col min="11010" max="11015" width="15.1640625" style="2" customWidth="1"/>
    <col min="11016" max="11264" width="13.33203125" style="2"/>
    <col min="11265" max="11265" width="39.33203125" style="2" customWidth="1"/>
    <col min="11266" max="11271" width="15.1640625" style="2" customWidth="1"/>
    <col min="11272" max="11520" width="13.33203125" style="2"/>
    <col min="11521" max="11521" width="39.33203125" style="2" customWidth="1"/>
    <col min="11522" max="11527" width="15.1640625" style="2" customWidth="1"/>
    <col min="11528" max="11776" width="13.33203125" style="2"/>
    <col min="11777" max="11777" width="39.33203125" style="2" customWidth="1"/>
    <col min="11778" max="11783" width="15.1640625" style="2" customWidth="1"/>
    <col min="11784" max="12032" width="13.33203125" style="2"/>
    <col min="12033" max="12033" width="39.33203125" style="2" customWidth="1"/>
    <col min="12034" max="12039" width="15.1640625" style="2" customWidth="1"/>
    <col min="12040" max="12288" width="13.33203125" style="2"/>
    <col min="12289" max="12289" width="39.33203125" style="2" customWidth="1"/>
    <col min="12290" max="12295" width="15.1640625" style="2" customWidth="1"/>
    <col min="12296" max="12544" width="13.33203125" style="2"/>
    <col min="12545" max="12545" width="39.33203125" style="2" customWidth="1"/>
    <col min="12546" max="12551" width="15.1640625" style="2" customWidth="1"/>
    <col min="12552" max="12800" width="13.33203125" style="2"/>
    <col min="12801" max="12801" width="39.33203125" style="2" customWidth="1"/>
    <col min="12802" max="12807" width="15.1640625" style="2" customWidth="1"/>
    <col min="12808" max="13056" width="13.33203125" style="2"/>
    <col min="13057" max="13057" width="39.33203125" style="2" customWidth="1"/>
    <col min="13058" max="13063" width="15.1640625" style="2" customWidth="1"/>
    <col min="13064" max="13312" width="13.33203125" style="2"/>
    <col min="13313" max="13313" width="39.33203125" style="2" customWidth="1"/>
    <col min="13314" max="13319" width="15.1640625" style="2" customWidth="1"/>
    <col min="13320" max="13568" width="13.33203125" style="2"/>
    <col min="13569" max="13569" width="39.33203125" style="2" customWidth="1"/>
    <col min="13570" max="13575" width="15.1640625" style="2" customWidth="1"/>
    <col min="13576" max="13824" width="13.33203125" style="2"/>
    <col min="13825" max="13825" width="39.33203125" style="2" customWidth="1"/>
    <col min="13826" max="13831" width="15.1640625" style="2" customWidth="1"/>
    <col min="13832" max="14080" width="13.33203125" style="2"/>
    <col min="14081" max="14081" width="39.33203125" style="2" customWidth="1"/>
    <col min="14082" max="14087" width="15.1640625" style="2" customWidth="1"/>
    <col min="14088" max="14336" width="13.33203125" style="2"/>
    <col min="14337" max="14337" width="39.33203125" style="2" customWidth="1"/>
    <col min="14338" max="14343" width="15.1640625" style="2" customWidth="1"/>
    <col min="14344" max="14592" width="13.33203125" style="2"/>
    <col min="14593" max="14593" width="39.33203125" style="2" customWidth="1"/>
    <col min="14594" max="14599" width="15.1640625" style="2" customWidth="1"/>
    <col min="14600" max="14848" width="13.33203125" style="2"/>
    <col min="14849" max="14849" width="39.33203125" style="2" customWidth="1"/>
    <col min="14850" max="14855" width="15.1640625" style="2" customWidth="1"/>
    <col min="14856" max="15104" width="13.33203125" style="2"/>
    <col min="15105" max="15105" width="39.33203125" style="2" customWidth="1"/>
    <col min="15106" max="15111" width="15.1640625" style="2" customWidth="1"/>
    <col min="15112" max="15360" width="13.33203125" style="2"/>
    <col min="15361" max="15361" width="39.33203125" style="2" customWidth="1"/>
    <col min="15362" max="15367" width="15.1640625" style="2" customWidth="1"/>
    <col min="15368" max="15616" width="13.33203125" style="2"/>
    <col min="15617" max="15617" width="39.33203125" style="2" customWidth="1"/>
    <col min="15618" max="15623" width="15.1640625" style="2" customWidth="1"/>
    <col min="15624" max="15872" width="13.33203125" style="2"/>
    <col min="15873" max="15873" width="39.33203125" style="2" customWidth="1"/>
    <col min="15874" max="15879" width="15.1640625" style="2" customWidth="1"/>
    <col min="15880" max="16128" width="13.33203125" style="2"/>
    <col min="16129" max="16129" width="39.33203125" style="2" customWidth="1"/>
    <col min="16130" max="16135" width="15.1640625" style="2" customWidth="1"/>
    <col min="16136" max="16384" width="13.33203125" style="2"/>
  </cols>
  <sheetData>
    <row r="1" spans="1:7" ht="43" customHeight="1" thickBot="1" x14ac:dyDescent="0.25">
      <c r="A1" s="26" t="s">
        <v>36</v>
      </c>
      <c r="B1" s="26"/>
      <c r="C1" s="26"/>
      <c r="D1" s="26"/>
      <c r="E1" s="26"/>
      <c r="F1" s="26"/>
      <c r="G1" s="26"/>
    </row>
    <row r="2" spans="1:7" s="5" customFormat="1" ht="46" thickTop="1" x14ac:dyDescent="0.2">
      <c r="A2" s="3"/>
      <c r="B2" s="4" t="s">
        <v>23</v>
      </c>
      <c r="C2" s="4" t="s">
        <v>24</v>
      </c>
      <c r="D2" s="4" t="s">
        <v>25</v>
      </c>
      <c r="E2" s="4" t="s">
        <v>26</v>
      </c>
      <c r="F2" s="4" t="s">
        <v>27</v>
      </c>
      <c r="G2" s="4" t="s">
        <v>28</v>
      </c>
    </row>
    <row r="3" spans="1:7" x14ac:dyDescent="0.2">
      <c r="A3" s="6"/>
      <c r="B3" s="7">
        <v>-1</v>
      </c>
      <c r="C3" s="7">
        <v>-2</v>
      </c>
      <c r="D3" s="7">
        <v>-3</v>
      </c>
      <c r="E3" s="7">
        <v>-4</v>
      </c>
      <c r="F3" s="7">
        <v>-5</v>
      </c>
      <c r="G3" s="7">
        <v>-6</v>
      </c>
    </row>
    <row r="4" spans="1:7" x14ac:dyDescent="0.2">
      <c r="A4" s="8"/>
      <c r="B4" s="8"/>
      <c r="C4" s="8"/>
      <c r="D4" s="8"/>
      <c r="E4" s="8"/>
      <c r="F4" s="8"/>
      <c r="G4" s="8"/>
    </row>
    <row r="5" spans="1:7" s="12" customFormat="1" x14ac:dyDescent="0.2">
      <c r="A5" s="9" t="s">
        <v>29</v>
      </c>
      <c r="B5" s="23">
        <f>+oop_spend_NOINS!B6</f>
        <v>1975.46</v>
      </c>
      <c r="C5" s="23">
        <f>+earnings_NOINS!B6</f>
        <v>-667.42809999999997</v>
      </c>
      <c r="D5" s="23">
        <f>+working_NOINS!B6</f>
        <v>-2.6494559999999998</v>
      </c>
      <c r="E5" s="23">
        <f>+spousal_NOINS!B6</f>
        <v>166.5789</v>
      </c>
      <c r="F5" s="23">
        <f>+insurancepay_NOINS!B6</f>
        <v>234.41589999999999</v>
      </c>
      <c r="G5" s="23">
        <f>+hitot_NOINS!B6</f>
        <v>-1554.6949999999999</v>
      </c>
    </row>
    <row r="6" spans="1:7" s="15" customFormat="1" x14ac:dyDescent="0.2">
      <c r="A6" s="13"/>
      <c r="B6" s="14" t="str">
        <f>"("&amp;+oop_spend_NOINS!C6&amp;")"</f>
        <v>(175.3367)</v>
      </c>
      <c r="C6" s="10" t="str">
        <f>"("&amp;+earnings_NOINS!C6&amp;")"</f>
        <v>(310.6935)</v>
      </c>
      <c r="D6" s="14" t="str">
        <f>"("&amp;+working_NOINS!C6&amp;")"</f>
        <v>(0.6173531)</v>
      </c>
      <c r="E6" s="11" t="str">
        <f>"("&amp;+spousal_NOINS!C6&amp;")"</f>
        <v>(311.9127)</v>
      </c>
      <c r="F6" s="11" t="str">
        <f>"("&amp;+insurancepay_NOINS!C6&amp;")"</f>
        <v>(153.1852)</v>
      </c>
      <c r="G6" s="11" t="str">
        <f>"("&amp;+hitot_NOINS!C6&amp;")"</f>
        <v>(635.3629)</v>
      </c>
    </row>
    <row r="7" spans="1:7" x14ac:dyDescent="0.2">
      <c r="A7" s="16" t="s">
        <v>30</v>
      </c>
      <c r="B7" s="11" t="str">
        <f>"["&amp;+oop_spend_NOINS!E6&amp;"]"</f>
        <v>[0]</v>
      </c>
      <c r="C7" s="11" t="str">
        <f>"["&amp;+earnings_NOINS!E6&amp;"]"</f>
        <v>[0.032]</v>
      </c>
      <c r="D7" s="11" t="str">
        <f>"["&amp;+working_NOINS!E6&amp;"]"</f>
        <v>[0]</v>
      </c>
      <c r="E7" s="11" t="str">
        <f>"["&amp;+spousal_NOINS!E6&amp;"]"</f>
        <v>[0.593]</v>
      </c>
      <c r="F7" s="11" t="str">
        <f>"["&amp;+insurancepay_NOINS!E6&amp;"]"</f>
        <v>[0.126]</v>
      </c>
      <c r="G7" s="11" t="str">
        <f>"["&amp;+hitot_NOINS!E6&amp;"]"</f>
        <v>[0.014]</v>
      </c>
    </row>
    <row r="8" spans="1:7" x14ac:dyDescent="0.2">
      <c r="A8" s="9" t="s">
        <v>31</v>
      </c>
      <c r="B8" s="23">
        <f>+oop_spend_NOINS!B8</f>
        <v>1311.0809999999999</v>
      </c>
      <c r="C8" s="23">
        <f>+earnings_NOINS!B8</f>
        <v>278.23930000000001</v>
      </c>
      <c r="D8" s="23">
        <f>+working_NOINS!B8</f>
        <v>5.5037599999999999E-2</v>
      </c>
      <c r="E8" s="23">
        <f>+spousal_NOINS!B8</f>
        <v>1923.9659999999999</v>
      </c>
      <c r="F8" s="23">
        <f>+insurancepay_NOINS!B8</f>
        <v>175.04580000000001</v>
      </c>
      <c r="G8" s="23">
        <f>+hitot_NOINS!B8</f>
        <v>-302.9468</v>
      </c>
    </row>
    <row r="9" spans="1:7" x14ac:dyDescent="0.2">
      <c r="A9" s="13"/>
      <c r="B9" s="11" t="str">
        <f>"("&amp;+oop_spend_NOINS!C8&amp;")"</f>
        <v>(225.4578)</v>
      </c>
      <c r="C9" s="11" t="str">
        <f>"("&amp;+earnings_NOINS!C8&amp;")"</f>
        <v>(533.8818)</v>
      </c>
      <c r="D9" s="11" t="str">
        <f>"("&amp;+working_NOINS!C8&amp;")"</f>
        <v>(0.9408605)</v>
      </c>
      <c r="E9" s="11" t="str">
        <f>"("&amp;+spousal_NOINS!C8&amp;")"</f>
        <v>(580.6228)</v>
      </c>
      <c r="F9" s="11" t="str">
        <f>"("&amp;+insurancepay_NOINS!C8&amp;")"</f>
        <v>(238.7887)</v>
      </c>
      <c r="G9" s="11" t="str">
        <f>"("&amp;+hitot_NOINS!C8&amp;")"</f>
        <v>(971.1568)</v>
      </c>
    </row>
    <row r="10" spans="1:7" s="15" customFormat="1" x14ac:dyDescent="0.2">
      <c r="A10" s="13"/>
      <c r="B10" s="14" t="str">
        <f>"["&amp;+oop_spend_NOINS!E8&amp;"]"</f>
        <v>[0]</v>
      </c>
      <c r="C10" s="14" t="str">
        <f>"["&amp;+earnings_NOINS!E8&amp;"]"</f>
        <v>[0.602]</v>
      </c>
      <c r="D10" s="14" t="str">
        <f>"["&amp;+working_NOINS!E8&amp;"]"</f>
        <v>[0.953]</v>
      </c>
      <c r="E10" s="11" t="str">
        <f>"["&amp;+spousal_NOINS!E8&amp;"]"</f>
        <v>[0.001]</v>
      </c>
      <c r="F10" s="11" t="str">
        <f>"["&amp;+insurancepay_NOINS!E8&amp;"]"</f>
        <v>[0.464]</v>
      </c>
      <c r="G10" s="11" t="str">
        <f>"["&amp;+hitot_NOINS!E8&amp;"]"</f>
        <v>[0.755]</v>
      </c>
    </row>
    <row r="11" spans="1:7" x14ac:dyDescent="0.2">
      <c r="A11" s="16" t="s">
        <v>30</v>
      </c>
      <c r="B11" s="11"/>
      <c r="C11" s="11"/>
      <c r="D11" s="11"/>
      <c r="E11" s="11"/>
      <c r="F11" s="11"/>
      <c r="G11" s="11"/>
    </row>
    <row r="12" spans="1:7" x14ac:dyDescent="0.2">
      <c r="A12" s="9" t="s">
        <v>32</v>
      </c>
      <c r="B12" s="23">
        <f>+AVERAGE(oop_spend_NOINS!B11:B13)</f>
        <v>84.249199999999988</v>
      </c>
      <c r="C12" s="23">
        <f>+AVERAGE(earnings_NOINS!B11:B13)</f>
        <v>634.13436666666655</v>
      </c>
      <c r="D12" s="23">
        <f>+AVERAGE(working_NOINS!B11:B13)</f>
        <v>-1.4902215666666665</v>
      </c>
      <c r="E12" s="23">
        <f>+AVERAGE(spousal_NOINS!B11:B13)</f>
        <v>752.18693666666684</v>
      </c>
      <c r="F12" s="23">
        <f>+AVERAGE(insurancepay_NOINS!B11:B13)</f>
        <v>-323.99383333333333</v>
      </c>
      <c r="G12" s="23">
        <f>+AVERAGE(hitot_NOINS!B11:B13)</f>
        <v>-1622.4353333333331</v>
      </c>
    </row>
    <row r="13" spans="1:7" x14ac:dyDescent="0.2">
      <c r="A13" s="16" t="s">
        <v>33</v>
      </c>
      <c r="B13" s="17">
        <f>+oop_spend_NOINS!H2</f>
        <v>69783</v>
      </c>
      <c r="C13" s="17">
        <f>+earnings_NOINS!H2</f>
        <v>55243</v>
      </c>
      <c r="D13" s="17">
        <f>+working_NOINS!H2</f>
        <v>69783</v>
      </c>
      <c r="E13" s="17">
        <f>+spousal_NOINS!H2</f>
        <v>69783</v>
      </c>
      <c r="F13" s="17">
        <f>+insurancepay_NOINS!H2</f>
        <v>69783</v>
      </c>
      <c r="G13" s="17">
        <f>+hitot_NOINS!H2</f>
        <v>69783</v>
      </c>
    </row>
    <row r="14" spans="1:7" x14ac:dyDescent="0.2">
      <c r="A14" s="16"/>
      <c r="B14" s="17"/>
      <c r="C14" s="11"/>
      <c r="D14" s="11"/>
      <c r="E14" s="11"/>
      <c r="F14" s="11"/>
      <c r="G14" s="11"/>
    </row>
    <row r="15" spans="1:7" ht="16" thickBot="1" x14ac:dyDescent="0.25">
      <c r="A15" s="18"/>
      <c r="B15" s="19"/>
      <c r="C15" s="19"/>
      <c r="D15" s="19"/>
      <c r="E15" s="19"/>
      <c r="F15" s="19"/>
      <c r="G15" s="19"/>
    </row>
    <row r="16" spans="1:7" ht="16" thickTop="1" x14ac:dyDescent="0.2"/>
    <row r="17" spans="1:7" x14ac:dyDescent="0.2">
      <c r="A17" s="27" t="s">
        <v>34</v>
      </c>
      <c r="B17" s="27"/>
      <c r="C17" s="27"/>
      <c r="D17" s="27"/>
      <c r="E17" s="27"/>
      <c r="F17" s="27"/>
      <c r="G17" s="27"/>
    </row>
    <row r="19" spans="1:7" x14ac:dyDescent="0.2">
      <c r="A19" s="21"/>
      <c r="B19" s="11"/>
      <c r="C19" s="11"/>
      <c r="D19" s="11"/>
      <c r="E19" s="11"/>
      <c r="F19" s="11"/>
      <c r="G19" s="11"/>
    </row>
  </sheetData>
  <mergeCells count="2">
    <mergeCell ref="A1:G1"/>
    <mergeCell ref="A17:G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66A99-C3BB-454E-9BE9-C2F5072B847D}">
  <dimension ref="A1:N11"/>
  <sheetViews>
    <sheetView workbookViewId="0">
      <selection activeCell="H9" sqref="H9"/>
    </sheetView>
  </sheetViews>
  <sheetFormatPr baseColWidth="10" defaultColWidth="8.83203125" defaultRowHeight="16" x14ac:dyDescent="0.2"/>
  <cols>
    <col min="6" max="6" width="10" bestFit="1" customWidth="1"/>
    <col min="7" max="7" width="10.1640625" bestFit="1" customWidth="1"/>
    <col min="10" max="10" width="11.5" bestFit="1" customWidth="1"/>
    <col min="11" max="12" width="10.1640625" bestFit="1" customWidth="1"/>
    <col min="13" max="13" width="11.33203125" bestFit="1" customWidth="1"/>
    <col min="14" max="14" width="11.6640625" bestFit="1" customWidth="1"/>
  </cols>
  <sheetData>
    <row r="1" spans="1:14" s="24" customFormat="1" ht="15" x14ac:dyDescent="0.2">
      <c r="A1" s="24" t="s">
        <v>37</v>
      </c>
      <c r="B1" s="24" t="s">
        <v>18</v>
      </c>
      <c r="C1" s="24" t="s">
        <v>3</v>
      </c>
      <c r="D1" s="24" t="s">
        <v>38</v>
      </c>
      <c r="E1" s="24" t="s">
        <v>19</v>
      </c>
      <c r="F1" s="24" t="s">
        <v>39</v>
      </c>
      <c r="G1" s="24" t="s">
        <v>20</v>
      </c>
      <c r="H1" s="24" t="s">
        <v>21</v>
      </c>
      <c r="I1" s="24" t="s">
        <v>40</v>
      </c>
      <c r="J1" s="24" t="s">
        <v>41</v>
      </c>
      <c r="K1" s="24" t="s">
        <v>22</v>
      </c>
      <c r="L1" s="24" t="s">
        <v>42</v>
      </c>
      <c r="M1" s="24" t="s">
        <v>43</v>
      </c>
      <c r="N1" s="24" t="s">
        <v>44</v>
      </c>
    </row>
    <row r="2" spans="1:14" x14ac:dyDescent="0.2">
      <c r="A2" t="s">
        <v>45</v>
      </c>
      <c r="B2">
        <v>2674</v>
      </c>
      <c r="C2">
        <v>2732</v>
      </c>
      <c r="D2">
        <v>2732</v>
      </c>
      <c r="E2">
        <v>2732</v>
      </c>
      <c r="F2">
        <v>2732</v>
      </c>
      <c r="G2">
        <v>2732</v>
      </c>
      <c r="H2">
        <v>2732</v>
      </c>
      <c r="I2">
        <v>2732</v>
      </c>
      <c r="J2">
        <v>2732</v>
      </c>
      <c r="K2">
        <v>2732</v>
      </c>
      <c r="L2">
        <v>2732</v>
      </c>
      <c r="M2">
        <v>2732</v>
      </c>
      <c r="N2">
        <v>2732</v>
      </c>
    </row>
    <row r="3" spans="1:14" x14ac:dyDescent="0.2">
      <c r="A3" t="s">
        <v>46</v>
      </c>
      <c r="B3">
        <v>10832</v>
      </c>
      <c r="C3">
        <v>13286</v>
      </c>
      <c r="D3">
        <v>13286</v>
      </c>
      <c r="E3">
        <v>13286</v>
      </c>
      <c r="F3">
        <v>13286</v>
      </c>
      <c r="G3">
        <v>13286</v>
      </c>
      <c r="H3">
        <v>13286</v>
      </c>
      <c r="I3">
        <v>13286</v>
      </c>
      <c r="J3">
        <v>13286</v>
      </c>
      <c r="K3">
        <v>13286</v>
      </c>
      <c r="L3">
        <v>13286</v>
      </c>
      <c r="M3">
        <v>13286</v>
      </c>
      <c r="N3">
        <v>13286</v>
      </c>
    </row>
    <row r="4" spans="1:14" x14ac:dyDescent="0.2">
      <c r="A4" t="s">
        <v>47</v>
      </c>
      <c r="B4">
        <v>2.5619200000000002E-2</v>
      </c>
      <c r="C4">
        <v>2.8835800000000002E-2</v>
      </c>
      <c r="D4">
        <v>7.2967599999999994E-2</v>
      </c>
      <c r="E4">
        <v>9.4124399999999997E-2</v>
      </c>
      <c r="F4">
        <v>1.8221000000000001E-2</v>
      </c>
      <c r="G4">
        <v>6.8818000000000004E-3</v>
      </c>
      <c r="H4">
        <v>9.6511600000000003E-2</v>
      </c>
      <c r="I4">
        <v>6.3397000000000002E-3</v>
      </c>
      <c r="J4">
        <v>5.9681999999999999E-3</v>
      </c>
      <c r="K4">
        <v>1.05957E-2</v>
      </c>
      <c r="L4">
        <v>1.0596700000000001E-2</v>
      </c>
      <c r="M4">
        <v>7.4338E-3</v>
      </c>
      <c r="N4">
        <v>7.5891999999999999E-3</v>
      </c>
    </row>
    <row r="5" spans="1:14" x14ac:dyDescent="0.2">
      <c r="A5" t="s">
        <v>48</v>
      </c>
      <c r="B5">
        <v>41888.199999999997</v>
      </c>
      <c r="C5">
        <v>2177.6610000000001</v>
      </c>
      <c r="D5">
        <v>55.86309</v>
      </c>
      <c r="E5">
        <v>75.085099999999997</v>
      </c>
      <c r="F5">
        <v>47584.480000000003</v>
      </c>
      <c r="G5">
        <v>32104.18</v>
      </c>
      <c r="H5">
        <v>2615.2840000000001</v>
      </c>
      <c r="I5">
        <v>97877.41</v>
      </c>
      <c r="J5">
        <v>10.993650000000001</v>
      </c>
      <c r="K5">
        <v>85846.07</v>
      </c>
      <c r="L5">
        <v>85865.52</v>
      </c>
      <c r="M5">
        <v>10.81751</v>
      </c>
      <c r="N5">
        <v>10.823840000000001</v>
      </c>
    </row>
    <row r="6" spans="1:14" x14ac:dyDescent="0.2">
      <c r="A6" t="s">
        <v>49</v>
      </c>
      <c r="B6">
        <v>-2198.741</v>
      </c>
      <c r="C6">
        <v>-30.336269999999999</v>
      </c>
      <c r="D6">
        <v>1.1885840000000001</v>
      </c>
      <c r="E6">
        <v>4.8341289999999999</v>
      </c>
      <c r="F6">
        <v>1293.6030000000001</v>
      </c>
      <c r="G6">
        <v>3028.7260000000001</v>
      </c>
      <c r="H6">
        <v>-197.54470000000001</v>
      </c>
      <c r="I6">
        <v>1068.021</v>
      </c>
      <c r="J6">
        <v>1.27747E-2</v>
      </c>
      <c r="K6">
        <v>3112.3150000000001</v>
      </c>
      <c r="L6">
        <v>3095.598</v>
      </c>
      <c r="M6">
        <v>9.3318899999999996E-2</v>
      </c>
      <c r="N6">
        <v>8.7868799999999997E-2</v>
      </c>
    </row>
    <row r="7" spans="1:14" x14ac:dyDescent="0.2">
      <c r="A7" t="s">
        <v>50</v>
      </c>
      <c r="B7">
        <v>585.0154</v>
      </c>
      <c r="C7">
        <v>-217.86429999999999</v>
      </c>
      <c r="D7">
        <v>2.052584</v>
      </c>
      <c r="E7">
        <v>6.6927589999999997</v>
      </c>
      <c r="F7">
        <v>2505.0970000000002</v>
      </c>
      <c r="G7">
        <v>4232.1310000000003</v>
      </c>
      <c r="H7">
        <v>-596.42600000000004</v>
      </c>
      <c r="I7">
        <v>1037.7249999999999</v>
      </c>
      <c r="J7">
        <v>2.4311699999999999E-2</v>
      </c>
      <c r="K7">
        <v>4403.2709999999997</v>
      </c>
      <c r="L7">
        <v>4388.1639999999998</v>
      </c>
      <c r="M7">
        <v>7.7764600000000003E-2</v>
      </c>
      <c r="N7">
        <v>7.2839500000000001E-2</v>
      </c>
    </row>
    <row r="8" spans="1:14" x14ac:dyDescent="0.2">
      <c r="A8" t="s">
        <v>51</v>
      </c>
      <c r="B8">
        <v>-6480.5540000000001</v>
      </c>
      <c r="C8">
        <v>2311.9290000000001</v>
      </c>
      <c r="D8">
        <v>-0.37877470000000002</v>
      </c>
      <c r="E8">
        <v>-11.494339999999999</v>
      </c>
      <c r="F8">
        <v>-5572.7889999999998</v>
      </c>
      <c r="G8">
        <v>-2390.7919999999999</v>
      </c>
      <c r="H8">
        <v>829.76149999999996</v>
      </c>
      <c r="I8">
        <v>-8260.1530000000002</v>
      </c>
      <c r="J8">
        <v>-0.118492</v>
      </c>
      <c r="K8">
        <v>-6691.348</v>
      </c>
      <c r="L8">
        <v>-6713.1480000000001</v>
      </c>
      <c r="M8">
        <v>-0.1374465</v>
      </c>
      <c r="N8">
        <v>-0.14454980000000001</v>
      </c>
    </row>
    <row r="9" spans="1:14" x14ac:dyDescent="0.2">
      <c r="A9" t="s">
        <v>52</v>
      </c>
      <c r="B9">
        <v>-13732.65</v>
      </c>
      <c r="C9">
        <v>1365.4659999999999</v>
      </c>
      <c r="D9">
        <v>-0.43249149999999997</v>
      </c>
      <c r="E9">
        <v>-20.965779999999999</v>
      </c>
      <c r="F9">
        <v>-13348.62</v>
      </c>
      <c r="G9">
        <v>-3010.9430000000002</v>
      </c>
      <c r="H9">
        <v>2376.2159999999999</v>
      </c>
      <c r="I9">
        <v>-13498.97</v>
      </c>
      <c r="J9">
        <v>-0.20590910000000001</v>
      </c>
      <c r="K9">
        <v>-11607.07</v>
      </c>
      <c r="L9">
        <v>-11632.78</v>
      </c>
      <c r="M9">
        <v>-0.261988</v>
      </c>
      <c r="N9">
        <v>-0.270366</v>
      </c>
    </row>
    <row r="10" spans="1:14" x14ac:dyDescent="0.2">
      <c r="A10" t="s">
        <v>53</v>
      </c>
      <c r="B10">
        <v>-17392.189999999999</v>
      </c>
      <c r="C10">
        <v>1176.595</v>
      </c>
      <c r="D10">
        <v>-0.30397439999999998</v>
      </c>
      <c r="E10">
        <v>-32.285159999999998</v>
      </c>
      <c r="F10">
        <v>-18225.61</v>
      </c>
      <c r="G10">
        <v>-7562.4250000000002</v>
      </c>
      <c r="H10">
        <v>4492.6149999999998</v>
      </c>
      <c r="I10">
        <v>-18825.349999999999</v>
      </c>
      <c r="J10">
        <v>-0.24551780000000001</v>
      </c>
      <c r="K10">
        <v>-17777.64</v>
      </c>
      <c r="L10">
        <v>-17793.77</v>
      </c>
      <c r="M10">
        <v>-0.31146259999999998</v>
      </c>
      <c r="N10">
        <v>-0.31671719999999998</v>
      </c>
    </row>
    <row r="11" spans="1:14" x14ac:dyDescent="0.2">
      <c r="A11" t="s">
        <v>54</v>
      </c>
      <c r="B11">
        <v>-20397.32</v>
      </c>
      <c r="C11">
        <v>1424.018</v>
      </c>
      <c r="D11">
        <v>-0.55072310000000002</v>
      </c>
      <c r="E11">
        <v>-41.449330000000003</v>
      </c>
      <c r="F11">
        <v>-22814.44</v>
      </c>
      <c r="G11">
        <v>-10273.450000000001</v>
      </c>
      <c r="H11">
        <v>7697.6930000000002</v>
      </c>
      <c r="I11">
        <v>-17890.86</v>
      </c>
      <c r="J11">
        <v>-0.21090880000000001</v>
      </c>
      <c r="K11">
        <v>-19361.16</v>
      </c>
      <c r="L11">
        <v>-19378.189999999999</v>
      </c>
      <c r="M11">
        <v>-0.2476227</v>
      </c>
      <c r="N11">
        <v>-0.25317250000000002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D4967-4F2E-3C49-AE1F-2D1CD689342E}">
  <dimension ref="A2:H29"/>
  <sheetViews>
    <sheetView tabSelected="1" workbookViewId="0">
      <selection activeCell="L31" sqref="L31"/>
    </sheetView>
  </sheetViews>
  <sheetFormatPr baseColWidth="10" defaultRowHeight="16" x14ac:dyDescent="0.2"/>
  <sheetData>
    <row r="2" spans="1:8" x14ac:dyDescent="0.2">
      <c r="E2" t="s">
        <v>0</v>
      </c>
      <c r="F2" t="s">
        <v>1</v>
      </c>
      <c r="G2" t="s">
        <v>2</v>
      </c>
      <c r="H2" s="1">
        <v>8574</v>
      </c>
    </row>
    <row r="4" spans="1:8" x14ac:dyDescent="0.2">
      <c r="A4" t="s">
        <v>3</v>
      </c>
      <c r="B4" t="s">
        <v>4</v>
      </c>
      <c r="C4" t="s">
        <v>5</v>
      </c>
      <c r="D4" t="s">
        <v>6</v>
      </c>
      <c r="E4" t="s">
        <v>7</v>
      </c>
      <c r="G4" t="s">
        <v>8</v>
      </c>
      <c r="H4" t="s">
        <v>9</v>
      </c>
    </row>
    <row r="6" spans="1:8" x14ac:dyDescent="0.2">
      <c r="A6" t="s">
        <v>10</v>
      </c>
      <c r="B6">
        <v>1935.019</v>
      </c>
      <c r="C6">
        <v>233.90600000000001</v>
      </c>
      <c r="D6">
        <v>8.27</v>
      </c>
      <c r="E6" s="22">
        <v>0</v>
      </c>
      <c r="G6">
        <v>1476.5719999999999</v>
      </c>
      <c r="H6">
        <v>2393.4659999999999</v>
      </c>
    </row>
    <row r="7" spans="1:8" x14ac:dyDescent="0.2">
      <c r="A7" t="s">
        <v>11</v>
      </c>
      <c r="B7">
        <v>1197.1089999999999</v>
      </c>
      <c r="C7">
        <v>311.7165</v>
      </c>
      <c r="D7">
        <v>3.84</v>
      </c>
      <c r="E7" s="22">
        <v>0</v>
      </c>
      <c r="G7">
        <v>586.15549999999996</v>
      </c>
      <c r="H7">
        <v>1808.0619999999999</v>
      </c>
    </row>
    <row r="8" spans="1:8" x14ac:dyDescent="0.2">
      <c r="A8" t="s">
        <v>12</v>
      </c>
      <c r="B8">
        <v>1124.3800000000001</v>
      </c>
      <c r="C8">
        <v>397.83460000000002</v>
      </c>
      <c r="D8">
        <v>2.83</v>
      </c>
      <c r="E8" s="22">
        <v>5.0000000000000001E-3</v>
      </c>
      <c r="G8">
        <v>344.63850000000002</v>
      </c>
      <c r="H8">
        <v>1904.1210000000001</v>
      </c>
    </row>
    <row r="9" spans="1:8" x14ac:dyDescent="0.2">
      <c r="A9" t="s">
        <v>13</v>
      </c>
      <c r="B9">
        <v>1242.3800000000001</v>
      </c>
      <c r="C9">
        <v>569.56179999999995</v>
      </c>
      <c r="D9">
        <v>2.1800000000000002</v>
      </c>
      <c r="E9" s="22">
        <v>2.9000000000000001E-2</v>
      </c>
      <c r="G9">
        <v>126.0594</v>
      </c>
      <c r="H9">
        <v>2358.701</v>
      </c>
    </row>
    <row r="10" spans="1:8" x14ac:dyDescent="0.2">
      <c r="A10" t="s">
        <v>14</v>
      </c>
      <c r="B10">
        <v>1269.07</v>
      </c>
      <c r="C10">
        <v>597.01149999999996</v>
      </c>
      <c r="D10">
        <v>2.13</v>
      </c>
      <c r="E10" s="22">
        <v>3.4000000000000002E-2</v>
      </c>
      <c r="G10">
        <v>98.949200000000005</v>
      </c>
      <c r="H10">
        <v>2439.1909999999998</v>
      </c>
    </row>
    <row r="11" spans="1:8" x14ac:dyDescent="0.2">
      <c r="A11" t="s">
        <v>15</v>
      </c>
      <c r="B11">
        <v>116.4025</v>
      </c>
      <c r="C11">
        <v>816.31179999999995</v>
      </c>
      <c r="D11">
        <v>0.14000000000000001</v>
      </c>
      <c r="E11" s="22">
        <v>0.88700000000000001</v>
      </c>
      <c r="G11">
        <v>1483.539</v>
      </c>
      <c r="H11">
        <v>1716.3440000000001</v>
      </c>
    </row>
    <row r="12" spans="1:8" x14ac:dyDescent="0.2">
      <c r="A12" t="s">
        <v>16</v>
      </c>
      <c r="B12">
        <v>181.54089999999999</v>
      </c>
      <c r="C12">
        <v>630.37530000000004</v>
      </c>
      <c r="D12">
        <v>0.28999999999999998</v>
      </c>
      <c r="E12" s="22">
        <v>0.77300000000000002</v>
      </c>
      <c r="G12">
        <v>1053.972</v>
      </c>
      <c r="H12">
        <v>1417.0540000000001</v>
      </c>
    </row>
    <row r="13" spans="1:8" x14ac:dyDescent="0.2">
      <c r="A13" t="s">
        <v>17</v>
      </c>
      <c r="B13">
        <v>-170.74029999999999</v>
      </c>
      <c r="C13">
        <v>451.72669999999999</v>
      </c>
      <c r="D13">
        <v>-0.38</v>
      </c>
      <c r="E13" s="22">
        <v>0.70499999999999996</v>
      </c>
      <c r="G13">
        <v>1056.1079999999999</v>
      </c>
      <c r="H13">
        <v>714.62779999999998</v>
      </c>
    </row>
    <row r="14" spans="1:8" x14ac:dyDescent="0.2">
      <c r="A14" t="s">
        <v>64</v>
      </c>
      <c r="B14">
        <v>-8.1921000000000008E-3</v>
      </c>
      <c r="C14">
        <v>1.22127E-2</v>
      </c>
      <c r="D14">
        <v>-0.67</v>
      </c>
      <c r="E14">
        <v>0.502</v>
      </c>
      <c r="G14">
        <v>3.2128700000000003E-2</v>
      </c>
      <c r="H14">
        <v>1.5744399999999999E-2</v>
      </c>
    </row>
    <row r="15" spans="1:8" x14ac:dyDescent="0.2">
      <c r="A15" t="s">
        <v>65</v>
      </c>
      <c r="B15">
        <v>1.6299999999999999E-3</v>
      </c>
      <c r="C15">
        <v>7.2107999999999998E-3</v>
      </c>
      <c r="D15">
        <v>0.23</v>
      </c>
      <c r="E15">
        <v>0.82099999999999995</v>
      </c>
      <c r="G15">
        <v>1.25028E-2</v>
      </c>
      <c r="H15">
        <v>1.57629E-2</v>
      </c>
    </row>
    <row r="16" spans="1:8" x14ac:dyDescent="0.2">
      <c r="A16" t="s">
        <v>66</v>
      </c>
      <c r="B16">
        <v>-3.2249999999999998E-4</v>
      </c>
      <c r="C16">
        <v>7.4881000000000001E-3</v>
      </c>
      <c r="D16">
        <v>-0.04</v>
      </c>
      <c r="E16">
        <v>0.96599999999999997</v>
      </c>
      <c r="G16">
        <v>1.4998900000000001E-2</v>
      </c>
      <c r="H16">
        <v>1.43538E-2</v>
      </c>
    </row>
    <row r="17" spans="1:8" x14ac:dyDescent="0.2">
      <c r="A17" t="s">
        <v>67</v>
      </c>
      <c r="B17">
        <v>-2.5831249999999999</v>
      </c>
      <c r="C17">
        <v>9.9679450000000003</v>
      </c>
      <c r="D17">
        <v>-0.26</v>
      </c>
      <c r="E17">
        <v>0.79600000000000004</v>
      </c>
      <c r="G17">
        <v>22.11994</v>
      </c>
      <c r="H17">
        <v>16.953690000000002</v>
      </c>
    </row>
    <row r="18" spans="1:8" x14ac:dyDescent="0.2">
      <c r="A18" t="s">
        <v>68</v>
      </c>
      <c r="B18">
        <v>-1.316732</v>
      </c>
      <c r="C18">
        <v>9.5585579999999997</v>
      </c>
      <c r="D18">
        <v>-0.14000000000000001</v>
      </c>
      <c r="E18">
        <v>0.89</v>
      </c>
      <c r="G18">
        <v>20.051159999999999</v>
      </c>
      <c r="H18">
        <v>17.4177</v>
      </c>
    </row>
    <row r="19" spans="1:8" x14ac:dyDescent="0.2">
      <c r="A19" t="s">
        <v>69</v>
      </c>
      <c r="B19">
        <v>-2.3608259999999999</v>
      </c>
      <c r="C19">
        <v>10.547470000000001</v>
      </c>
      <c r="D19">
        <v>-0.22</v>
      </c>
      <c r="E19">
        <v>0.82299999999999995</v>
      </c>
      <c r="G19">
        <v>-23.0335</v>
      </c>
      <c r="H19">
        <v>18.31184</v>
      </c>
    </row>
    <row r="21" spans="1:8" x14ac:dyDescent="0.2">
      <c r="B21" t="s">
        <v>55</v>
      </c>
      <c r="C21" t="s">
        <v>56</v>
      </c>
    </row>
    <row r="23" spans="1:8" x14ac:dyDescent="0.2">
      <c r="A23" t="s">
        <v>63</v>
      </c>
      <c r="B23">
        <f>Comparison!C7</f>
        <v>-217.86429999999999</v>
      </c>
      <c r="C23">
        <f>B11</f>
        <v>116.4025</v>
      </c>
    </row>
    <row r="24" spans="1:8" x14ac:dyDescent="0.2">
      <c r="A24" t="s">
        <v>62</v>
      </c>
      <c r="B24">
        <f>Comparison!C6</f>
        <v>-30.336269999999999</v>
      </c>
      <c r="C24">
        <f t="shared" ref="C24:C25" si="0">B12</f>
        <v>181.54089999999999</v>
      </c>
    </row>
    <row r="25" spans="1:8" x14ac:dyDescent="0.2">
      <c r="A25" t="s">
        <v>61</v>
      </c>
      <c r="B25">
        <v>0</v>
      </c>
      <c r="C25">
        <f t="shared" si="0"/>
        <v>-170.74029999999999</v>
      </c>
    </row>
    <row r="26" spans="1:8" x14ac:dyDescent="0.2">
      <c r="A26" t="s">
        <v>57</v>
      </c>
      <c r="B26">
        <f>Comparison!C8</f>
        <v>2311.9290000000001</v>
      </c>
      <c r="C26">
        <f>B6</f>
        <v>1935.019</v>
      </c>
    </row>
    <row r="27" spans="1:8" x14ac:dyDescent="0.2">
      <c r="A27" t="s">
        <v>58</v>
      </c>
      <c r="B27">
        <f>Comparison!C9</f>
        <v>1365.4659999999999</v>
      </c>
      <c r="C27">
        <f t="shared" ref="C27:C29" si="1">B7</f>
        <v>1197.1089999999999</v>
      </c>
    </row>
    <row r="28" spans="1:8" x14ac:dyDescent="0.2">
      <c r="A28" t="s">
        <v>59</v>
      </c>
      <c r="B28">
        <f>Comparison!C10</f>
        <v>1176.595</v>
      </c>
      <c r="C28">
        <f t="shared" si="1"/>
        <v>1124.3800000000001</v>
      </c>
    </row>
    <row r="29" spans="1:8" x14ac:dyDescent="0.2">
      <c r="A29" t="s">
        <v>60</v>
      </c>
      <c r="B29">
        <f>Comparison!C11</f>
        <v>1424.018</v>
      </c>
      <c r="C29">
        <f t="shared" si="1"/>
        <v>1242.3800000000001</v>
      </c>
    </row>
  </sheetData>
  <phoneticPr fontId="7"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1B746-8F86-6A48-8283-E3BCC7380768}">
  <dimension ref="A2:H29"/>
  <sheetViews>
    <sheetView topLeftCell="A2" workbookViewId="0">
      <selection activeCell="L6" sqref="L6"/>
    </sheetView>
  </sheetViews>
  <sheetFormatPr baseColWidth="10" defaultRowHeight="16" x14ac:dyDescent="0.2"/>
  <sheetData>
    <row r="2" spans="1:8" x14ac:dyDescent="0.2">
      <c r="E2" t="s">
        <v>0</v>
      </c>
      <c r="F2" t="s">
        <v>1</v>
      </c>
      <c r="G2" t="s">
        <v>2</v>
      </c>
      <c r="H2" s="1">
        <v>8574</v>
      </c>
    </row>
    <row r="4" spans="1:8" x14ac:dyDescent="0.2">
      <c r="A4" t="s">
        <v>18</v>
      </c>
      <c r="B4" t="s">
        <v>4</v>
      </c>
      <c r="C4" t="s">
        <v>5</v>
      </c>
      <c r="D4" t="s">
        <v>6</v>
      </c>
      <c r="E4" t="s">
        <v>7</v>
      </c>
      <c r="G4" t="s">
        <v>8</v>
      </c>
      <c r="H4" t="s">
        <v>9</v>
      </c>
    </row>
    <row r="6" spans="1:8" x14ac:dyDescent="0.2">
      <c r="A6" t="s">
        <v>10</v>
      </c>
      <c r="B6">
        <v>-3396.1959999999999</v>
      </c>
      <c r="C6">
        <v>1394.8820000000001</v>
      </c>
      <c r="D6">
        <v>-2.4300000000000002</v>
      </c>
      <c r="E6" s="22">
        <v>1.4999999999999999E-2</v>
      </c>
      <c r="G6">
        <v>6130.1149999999998</v>
      </c>
      <c r="H6">
        <v>-662.27689999999996</v>
      </c>
    </row>
    <row r="7" spans="1:8" x14ac:dyDescent="0.2">
      <c r="A7" t="s">
        <v>11</v>
      </c>
      <c r="B7">
        <v>-11739.83</v>
      </c>
      <c r="C7">
        <v>1758.461</v>
      </c>
      <c r="D7">
        <v>-6.68</v>
      </c>
      <c r="E7" s="22">
        <v>0</v>
      </c>
      <c r="G7">
        <v>15186.35</v>
      </c>
      <c r="H7">
        <v>-8293.3080000000009</v>
      </c>
    </row>
    <row r="8" spans="1:8" x14ac:dyDescent="0.2">
      <c r="A8" t="s">
        <v>12</v>
      </c>
      <c r="B8">
        <v>-15369.72</v>
      </c>
      <c r="C8">
        <v>2261.2869999999998</v>
      </c>
      <c r="D8">
        <v>-6.8</v>
      </c>
      <c r="E8" s="22">
        <v>0</v>
      </c>
      <c r="G8">
        <v>19801.77</v>
      </c>
      <c r="H8">
        <v>-10937.68</v>
      </c>
    </row>
    <row r="9" spans="1:8" x14ac:dyDescent="0.2">
      <c r="A9" t="s">
        <v>13</v>
      </c>
      <c r="B9">
        <v>-16505.37</v>
      </c>
      <c r="C9">
        <v>2841.9459999999999</v>
      </c>
      <c r="D9">
        <v>-5.81</v>
      </c>
      <c r="E9" s="22">
        <v>0</v>
      </c>
      <c r="G9">
        <v>22075.48</v>
      </c>
      <c r="H9">
        <v>-10935.26</v>
      </c>
    </row>
    <row r="10" spans="1:8" x14ac:dyDescent="0.2">
      <c r="A10" t="s">
        <v>14</v>
      </c>
      <c r="B10">
        <v>-21570.04</v>
      </c>
      <c r="C10">
        <v>3417.2689999999998</v>
      </c>
      <c r="D10">
        <v>-6.31</v>
      </c>
      <c r="E10" s="22">
        <v>0</v>
      </c>
      <c r="G10">
        <v>28267.759999999998</v>
      </c>
      <c r="H10">
        <v>-14872.31</v>
      </c>
    </row>
    <row r="11" spans="1:8" x14ac:dyDescent="0.2">
      <c r="A11" t="s">
        <v>15</v>
      </c>
      <c r="B11">
        <v>-3353.7539999999999</v>
      </c>
      <c r="C11">
        <v>7265.3869999999997</v>
      </c>
      <c r="D11">
        <v>-0.46</v>
      </c>
      <c r="E11" s="22">
        <v>0.64400000000000002</v>
      </c>
      <c r="G11">
        <v>17593.650000000001</v>
      </c>
      <c r="H11">
        <v>10886.14</v>
      </c>
    </row>
    <row r="12" spans="1:8" x14ac:dyDescent="0.2">
      <c r="A12" t="s">
        <v>16</v>
      </c>
      <c r="B12">
        <v>-2780.509</v>
      </c>
      <c r="C12">
        <v>5221.9979999999996</v>
      </c>
      <c r="D12">
        <v>-0.53</v>
      </c>
      <c r="E12" s="22">
        <v>0.59399999999999997</v>
      </c>
      <c r="G12">
        <v>13015.44</v>
      </c>
      <c r="H12">
        <v>7454.4189999999999</v>
      </c>
    </row>
    <row r="13" spans="1:8" x14ac:dyDescent="0.2">
      <c r="A13" t="s">
        <v>17</v>
      </c>
      <c r="B13">
        <v>409.85509999999999</v>
      </c>
      <c r="C13">
        <v>3536.018</v>
      </c>
      <c r="D13">
        <v>0.12</v>
      </c>
      <c r="E13" s="22">
        <v>0.90800000000000003</v>
      </c>
      <c r="G13">
        <v>6520.6120000000001</v>
      </c>
      <c r="H13">
        <v>7340.3220000000001</v>
      </c>
    </row>
    <row r="14" spans="1:8" x14ac:dyDescent="0.2">
      <c r="A14" t="s">
        <v>64</v>
      </c>
      <c r="B14">
        <v>0.1294689</v>
      </c>
      <c r="C14">
        <v>0.1467638</v>
      </c>
      <c r="D14">
        <v>0.88</v>
      </c>
      <c r="E14">
        <v>0.378</v>
      </c>
      <c r="G14">
        <v>0.15818280000000001</v>
      </c>
      <c r="H14">
        <v>0.41712060000000001</v>
      </c>
    </row>
    <row r="15" spans="1:8" x14ac:dyDescent="0.2">
      <c r="A15" t="s">
        <v>65</v>
      </c>
      <c r="B15">
        <v>5.1056499999999998E-2</v>
      </c>
      <c r="C15">
        <v>0.29057870000000002</v>
      </c>
      <c r="D15">
        <v>0.18</v>
      </c>
      <c r="E15">
        <v>0.86099999999999999</v>
      </c>
      <c r="G15">
        <v>0.51846720000000002</v>
      </c>
      <c r="H15">
        <v>0.62058020000000003</v>
      </c>
    </row>
    <row r="16" spans="1:8" x14ac:dyDescent="0.2">
      <c r="A16" t="s">
        <v>66</v>
      </c>
      <c r="B16">
        <v>-1.2201E-2</v>
      </c>
      <c r="C16">
        <v>0.2854468</v>
      </c>
      <c r="D16">
        <v>-0.04</v>
      </c>
      <c r="E16">
        <v>0.96599999999999997</v>
      </c>
      <c r="G16">
        <v>0.57166649999999997</v>
      </c>
      <c r="H16">
        <v>0.54726450000000004</v>
      </c>
    </row>
    <row r="17" spans="1:8" x14ac:dyDescent="0.2">
      <c r="A17" t="s">
        <v>67</v>
      </c>
      <c r="B17">
        <v>-105.3789</v>
      </c>
      <c r="C17">
        <v>122.9512</v>
      </c>
      <c r="D17">
        <v>-0.86</v>
      </c>
      <c r="E17">
        <v>0.39100000000000001</v>
      </c>
      <c r="G17">
        <v>346.35879999999997</v>
      </c>
      <c r="H17">
        <v>135.601</v>
      </c>
    </row>
    <row r="18" spans="1:8" x14ac:dyDescent="0.2">
      <c r="A18" t="s">
        <v>68</v>
      </c>
      <c r="B18">
        <v>-51.464329999999997</v>
      </c>
      <c r="C18">
        <v>100.8964</v>
      </c>
      <c r="D18">
        <v>-0.51</v>
      </c>
      <c r="E18">
        <v>0.61</v>
      </c>
      <c r="G18">
        <v>249.21770000000001</v>
      </c>
      <c r="H18">
        <v>146.28899999999999</v>
      </c>
    </row>
    <row r="19" spans="1:8" x14ac:dyDescent="0.2">
      <c r="A19" t="s">
        <v>69</v>
      </c>
      <c r="B19">
        <v>-45.050190000000001</v>
      </c>
      <c r="C19">
        <v>106.9974</v>
      </c>
      <c r="D19">
        <v>-0.42</v>
      </c>
      <c r="E19">
        <v>0.67400000000000004</v>
      </c>
      <c r="G19">
        <v>254.76130000000001</v>
      </c>
      <c r="H19">
        <v>164.6609</v>
      </c>
    </row>
    <row r="21" spans="1:8" x14ac:dyDescent="0.2">
      <c r="B21" t="s">
        <v>55</v>
      </c>
      <c r="C21" t="s">
        <v>56</v>
      </c>
    </row>
    <row r="23" spans="1:8" x14ac:dyDescent="0.2">
      <c r="A23" t="s">
        <v>63</v>
      </c>
      <c r="B23">
        <f>Comparison!B7</f>
        <v>585.0154</v>
      </c>
      <c r="C23">
        <f>B11</f>
        <v>-3353.7539999999999</v>
      </c>
    </row>
    <row r="24" spans="1:8" x14ac:dyDescent="0.2">
      <c r="A24" t="s">
        <v>62</v>
      </c>
      <c r="B24">
        <f>Comparison!B6</f>
        <v>-2198.741</v>
      </c>
      <c r="C24">
        <f t="shared" ref="C24:C25" si="0">B12</f>
        <v>-2780.509</v>
      </c>
    </row>
    <row r="25" spans="1:8" x14ac:dyDescent="0.2">
      <c r="A25" t="s">
        <v>61</v>
      </c>
      <c r="B25">
        <v>0</v>
      </c>
      <c r="C25">
        <f t="shared" si="0"/>
        <v>409.85509999999999</v>
      </c>
    </row>
    <row r="26" spans="1:8" x14ac:dyDescent="0.2">
      <c r="A26" t="s">
        <v>57</v>
      </c>
      <c r="B26">
        <f>Comparison!B8</f>
        <v>-6480.5540000000001</v>
      </c>
      <c r="C26">
        <f>B6</f>
        <v>-3396.1959999999999</v>
      </c>
    </row>
    <row r="27" spans="1:8" x14ac:dyDescent="0.2">
      <c r="A27" t="s">
        <v>58</v>
      </c>
      <c r="B27">
        <f>Comparison!B9</f>
        <v>-13732.65</v>
      </c>
      <c r="C27">
        <f t="shared" ref="C27:C29" si="1">B7</f>
        <v>-11739.83</v>
      </c>
    </row>
    <row r="28" spans="1:8" x14ac:dyDescent="0.2">
      <c r="A28" t="s">
        <v>59</v>
      </c>
      <c r="B28">
        <f>Comparison!B10</f>
        <v>-17392.189999999999</v>
      </c>
      <c r="C28">
        <f t="shared" si="1"/>
        <v>-15369.72</v>
      </c>
    </row>
    <row r="29" spans="1:8" x14ac:dyDescent="0.2">
      <c r="A29" t="s">
        <v>60</v>
      </c>
      <c r="B29">
        <f>Comparison!B11</f>
        <v>-20397.32</v>
      </c>
      <c r="C29">
        <f t="shared" si="1"/>
        <v>-16505.37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F5920-4A4F-4F47-9521-B0B2BB9557BC}">
  <dimension ref="A2:H29"/>
  <sheetViews>
    <sheetView workbookViewId="0">
      <selection activeCell="A21" sqref="A21:C29"/>
    </sheetView>
  </sheetViews>
  <sheetFormatPr baseColWidth="10" defaultRowHeight="16" x14ac:dyDescent="0.2"/>
  <sheetData>
    <row r="2" spans="1:8" x14ac:dyDescent="0.2">
      <c r="E2" t="s">
        <v>0</v>
      </c>
      <c r="F2" t="s">
        <v>1</v>
      </c>
      <c r="G2" t="s">
        <v>2</v>
      </c>
      <c r="H2" s="1">
        <v>8574</v>
      </c>
    </row>
    <row r="4" spans="1:8" x14ac:dyDescent="0.2">
      <c r="A4" t="s">
        <v>19</v>
      </c>
      <c r="B4" t="s">
        <v>4</v>
      </c>
      <c r="C4" t="s">
        <v>5</v>
      </c>
      <c r="D4" t="s">
        <v>6</v>
      </c>
      <c r="E4" t="s">
        <v>7</v>
      </c>
      <c r="G4" t="s">
        <v>8</v>
      </c>
      <c r="H4" t="s">
        <v>9</v>
      </c>
    </row>
    <row r="6" spans="1:8" x14ac:dyDescent="0.2">
      <c r="A6" t="s">
        <v>10</v>
      </c>
      <c r="B6">
        <v>-8.7711500000000004</v>
      </c>
      <c r="C6">
        <v>1.3827229999999999</v>
      </c>
      <c r="D6">
        <v>-6.34</v>
      </c>
      <c r="E6">
        <v>0</v>
      </c>
      <c r="G6">
        <v>11.48124</v>
      </c>
      <c r="H6">
        <v>-6.0610619999999997</v>
      </c>
    </row>
    <row r="7" spans="1:8" x14ac:dyDescent="0.2">
      <c r="A7" t="s">
        <v>11</v>
      </c>
      <c r="B7">
        <v>-14.17381</v>
      </c>
      <c r="C7">
        <v>2.0163859999999998</v>
      </c>
      <c r="D7">
        <v>-7.03</v>
      </c>
      <c r="E7">
        <v>0</v>
      </c>
      <c r="G7">
        <v>18.12585</v>
      </c>
      <c r="H7">
        <v>-10.221769999999999</v>
      </c>
    </row>
    <row r="8" spans="1:8" x14ac:dyDescent="0.2">
      <c r="A8" t="s">
        <v>12</v>
      </c>
      <c r="B8">
        <v>-20.975069999999999</v>
      </c>
      <c r="C8">
        <v>3.0016500000000002</v>
      </c>
      <c r="D8">
        <v>-6.99</v>
      </c>
      <c r="E8">
        <v>0</v>
      </c>
      <c r="G8">
        <v>-26.8582</v>
      </c>
      <c r="H8">
        <v>-15.091950000000001</v>
      </c>
    </row>
    <row r="9" spans="1:8" x14ac:dyDescent="0.2">
      <c r="A9" t="s">
        <v>13</v>
      </c>
      <c r="B9">
        <v>-27.422070000000001</v>
      </c>
      <c r="C9">
        <v>4.0459050000000003</v>
      </c>
      <c r="D9">
        <v>-6.78</v>
      </c>
      <c r="E9">
        <v>0</v>
      </c>
      <c r="G9">
        <v>-35.351900000000001</v>
      </c>
      <c r="H9">
        <v>-19.492239999999999</v>
      </c>
    </row>
    <row r="10" spans="1:8" x14ac:dyDescent="0.2">
      <c r="A10" t="s">
        <v>14</v>
      </c>
      <c r="B10">
        <v>-33.180190000000003</v>
      </c>
      <c r="C10">
        <v>4.5351229999999996</v>
      </c>
      <c r="D10">
        <v>-7.32</v>
      </c>
      <c r="E10">
        <v>0</v>
      </c>
      <c r="G10">
        <v>42.068869999999997</v>
      </c>
      <c r="H10">
        <v>-24.291519999999998</v>
      </c>
    </row>
    <row r="11" spans="1:8" x14ac:dyDescent="0.2">
      <c r="A11" t="s">
        <v>15</v>
      </c>
      <c r="B11">
        <v>2.8187190000000002</v>
      </c>
      <c r="C11">
        <v>7.1896690000000003</v>
      </c>
      <c r="D11">
        <v>0.39</v>
      </c>
      <c r="E11">
        <v>0.69499999999999995</v>
      </c>
      <c r="G11">
        <v>11.27277</v>
      </c>
      <c r="H11">
        <v>16.910209999999999</v>
      </c>
    </row>
    <row r="12" spans="1:8" x14ac:dyDescent="0.2">
      <c r="A12" t="s">
        <v>16</v>
      </c>
      <c r="B12">
        <v>3.9255040000000001</v>
      </c>
      <c r="C12">
        <v>5.0371199999999998</v>
      </c>
      <c r="D12">
        <v>0.78</v>
      </c>
      <c r="E12">
        <v>0.436</v>
      </c>
      <c r="G12">
        <v>5.9470689999999999</v>
      </c>
      <c r="H12">
        <v>13.798080000000001</v>
      </c>
    </row>
    <row r="13" spans="1:8" x14ac:dyDescent="0.2">
      <c r="A13" t="s">
        <v>17</v>
      </c>
      <c r="B13">
        <v>4.7353160000000001</v>
      </c>
      <c r="C13">
        <v>3.1750600000000002</v>
      </c>
      <c r="D13">
        <v>1.49</v>
      </c>
      <c r="E13">
        <v>0.13600000000000001</v>
      </c>
      <c r="G13">
        <v>1.487687</v>
      </c>
      <c r="H13">
        <v>10.958320000000001</v>
      </c>
    </row>
    <row r="14" spans="1:8" x14ac:dyDescent="0.2">
      <c r="A14" t="s">
        <v>64</v>
      </c>
      <c r="B14">
        <v>9.0199999999999997E-5</v>
      </c>
      <c r="C14">
        <v>4.8600000000000002E-5</v>
      </c>
      <c r="D14">
        <v>1.85</v>
      </c>
      <c r="E14">
        <v>6.4000000000000001E-2</v>
      </c>
      <c r="G14" s="25">
        <v>5.1900000000000003E-6</v>
      </c>
      <c r="H14">
        <v>1.8550000000000001E-4</v>
      </c>
    </row>
    <row r="15" spans="1:8" x14ac:dyDescent="0.2">
      <c r="A15" t="s">
        <v>65</v>
      </c>
      <c r="B15">
        <v>1.8300000000000001E-5</v>
      </c>
      <c r="C15">
        <v>2.12E-5</v>
      </c>
      <c r="D15">
        <v>0.87</v>
      </c>
      <c r="E15">
        <v>0.38700000000000001</v>
      </c>
      <c r="G15">
        <v>2.3200000000000001E-5</v>
      </c>
      <c r="H15">
        <v>5.9799999999999997E-5</v>
      </c>
    </row>
    <row r="16" spans="1:8" x14ac:dyDescent="0.2">
      <c r="A16" t="s">
        <v>66</v>
      </c>
      <c r="B16">
        <v>-1.1E-5</v>
      </c>
      <c r="C16">
        <v>2.02E-5</v>
      </c>
      <c r="D16">
        <v>-0.54</v>
      </c>
      <c r="E16">
        <v>0.58599999999999997</v>
      </c>
      <c r="G16">
        <v>5.0599999999999997E-5</v>
      </c>
      <c r="H16">
        <v>2.8600000000000001E-5</v>
      </c>
    </row>
    <row r="17" spans="1:8" x14ac:dyDescent="0.2">
      <c r="A17" t="s">
        <v>67</v>
      </c>
      <c r="B17">
        <v>-1.5161000000000001E-2</v>
      </c>
      <c r="C17">
        <v>9.1799500000000006E-2</v>
      </c>
      <c r="D17">
        <v>-0.17</v>
      </c>
      <c r="E17">
        <v>0.86899999999999999</v>
      </c>
      <c r="G17">
        <v>0.1950847</v>
      </c>
      <c r="H17">
        <v>0.16476270000000001</v>
      </c>
    </row>
    <row r="18" spans="1:8" x14ac:dyDescent="0.2">
      <c r="A18" t="s">
        <v>68</v>
      </c>
      <c r="B18">
        <v>-2.2321899999999999E-2</v>
      </c>
      <c r="C18">
        <v>8.1813899999999995E-2</v>
      </c>
      <c r="D18">
        <v>-0.27</v>
      </c>
      <c r="E18">
        <v>0.78500000000000003</v>
      </c>
      <c r="G18">
        <v>0.18267420000000001</v>
      </c>
      <c r="H18">
        <v>0.13803029999999999</v>
      </c>
    </row>
    <row r="19" spans="1:8" x14ac:dyDescent="0.2">
      <c r="A19" t="s">
        <v>69</v>
      </c>
      <c r="B19">
        <v>1.6246199999999999E-2</v>
      </c>
      <c r="C19">
        <v>9.1140399999999996E-2</v>
      </c>
      <c r="D19">
        <v>0.18</v>
      </c>
      <c r="E19">
        <v>0.85899999999999999</v>
      </c>
      <c r="G19">
        <v>0.1623858</v>
      </c>
      <c r="H19">
        <v>0.1948781</v>
      </c>
    </row>
    <row r="21" spans="1:8" x14ac:dyDescent="0.2">
      <c r="B21" t="s">
        <v>55</v>
      </c>
      <c r="C21" t="s">
        <v>56</v>
      </c>
    </row>
    <row r="23" spans="1:8" x14ac:dyDescent="0.2">
      <c r="A23" t="s">
        <v>63</v>
      </c>
      <c r="B23">
        <f>Comparison!E7</f>
        <v>6.6927589999999997</v>
      </c>
      <c r="C23">
        <f>B11</f>
        <v>2.8187190000000002</v>
      </c>
    </row>
    <row r="24" spans="1:8" x14ac:dyDescent="0.2">
      <c r="A24" t="s">
        <v>62</v>
      </c>
      <c r="B24">
        <f>Comparison!E6</f>
        <v>4.8341289999999999</v>
      </c>
      <c r="C24">
        <f>B12</f>
        <v>3.9255040000000001</v>
      </c>
    </row>
    <row r="25" spans="1:8" x14ac:dyDescent="0.2">
      <c r="A25" t="s">
        <v>61</v>
      </c>
      <c r="B25">
        <v>0</v>
      </c>
      <c r="C25">
        <f>B13</f>
        <v>4.7353160000000001</v>
      </c>
    </row>
    <row r="26" spans="1:8" x14ac:dyDescent="0.2">
      <c r="A26" t="s">
        <v>57</v>
      </c>
      <c r="B26">
        <f>Comparison!E8</f>
        <v>-11.494339999999999</v>
      </c>
      <c r="C26">
        <f>B6</f>
        <v>-8.7711500000000004</v>
      </c>
    </row>
    <row r="27" spans="1:8" x14ac:dyDescent="0.2">
      <c r="A27" t="s">
        <v>58</v>
      </c>
      <c r="B27">
        <f>Comparison!E9</f>
        <v>-20.965779999999999</v>
      </c>
      <c r="C27">
        <f>B7</f>
        <v>-14.17381</v>
      </c>
    </row>
    <row r="28" spans="1:8" x14ac:dyDescent="0.2">
      <c r="A28" t="s">
        <v>59</v>
      </c>
      <c r="B28">
        <f>Comparison!E10</f>
        <v>-32.285159999999998</v>
      </c>
      <c r="C28">
        <f>B8</f>
        <v>-20.975069999999999</v>
      </c>
    </row>
    <row r="29" spans="1:8" x14ac:dyDescent="0.2">
      <c r="A29" t="s">
        <v>60</v>
      </c>
      <c r="B29">
        <f>Comparison!E11</f>
        <v>-41.449330000000003</v>
      </c>
      <c r="C29">
        <f>B9</f>
        <v>-27.422070000000001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6BC5-9554-0D4B-B451-AFF55C9B3A4C}">
  <dimension ref="A2:T29"/>
  <sheetViews>
    <sheetView workbookViewId="0">
      <selection activeCell="T12" sqref="T12"/>
    </sheetView>
  </sheetViews>
  <sheetFormatPr baseColWidth="10" defaultRowHeight="16" x14ac:dyDescent="0.2"/>
  <sheetData>
    <row r="2" spans="1:20" x14ac:dyDescent="0.2">
      <c r="E2" t="s">
        <v>0</v>
      </c>
      <c r="F2" t="s">
        <v>1</v>
      </c>
      <c r="G2" t="s">
        <v>2</v>
      </c>
      <c r="H2" s="1">
        <v>8574</v>
      </c>
    </row>
    <row r="4" spans="1:20" x14ac:dyDescent="0.2">
      <c r="A4" t="s">
        <v>20</v>
      </c>
      <c r="B4" t="s">
        <v>4</v>
      </c>
      <c r="C4" t="s">
        <v>5</v>
      </c>
      <c r="D4" t="s">
        <v>6</v>
      </c>
      <c r="E4" t="s">
        <v>7</v>
      </c>
      <c r="G4" t="s">
        <v>8</v>
      </c>
      <c r="H4" t="s">
        <v>9</v>
      </c>
    </row>
    <row r="6" spans="1:20" x14ac:dyDescent="0.2">
      <c r="A6" t="s">
        <v>10</v>
      </c>
      <c r="B6">
        <v>2734.4</v>
      </c>
      <c r="C6">
        <v>1570.905</v>
      </c>
      <c r="D6">
        <v>1.74</v>
      </c>
      <c r="E6">
        <v>8.2000000000000003E-2</v>
      </c>
      <c r="G6">
        <v>344.51690000000002</v>
      </c>
      <c r="H6">
        <v>5813.3159999999998</v>
      </c>
    </row>
    <row r="7" spans="1:20" x14ac:dyDescent="0.2">
      <c r="A7" t="s">
        <v>11</v>
      </c>
      <c r="B7">
        <v>3981.56</v>
      </c>
      <c r="C7">
        <v>2218.663</v>
      </c>
      <c r="D7">
        <v>1.79</v>
      </c>
      <c r="E7">
        <v>7.2999999999999995E-2</v>
      </c>
      <c r="G7">
        <v>366.93970000000002</v>
      </c>
      <c r="H7">
        <v>8330.0589999999993</v>
      </c>
    </row>
    <row r="8" spans="1:20" x14ac:dyDescent="0.2">
      <c r="A8" t="s">
        <v>12</v>
      </c>
      <c r="B8">
        <v>4324.9110000000001</v>
      </c>
      <c r="C8">
        <v>2893.9740000000002</v>
      </c>
      <c r="D8">
        <v>1.49</v>
      </c>
      <c r="E8">
        <v>0.13500000000000001</v>
      </c>
      <c r="G8">
        <v>1347.173</v>
      </c>
      <c r="H8">
        <v>9996.9950000000008</v>
      </c>
    </row>
    <row r="9" spans="1:20" x14ac:dyDescent="0.2">
      <c r="A9" t="s">
        <v>13</v>
      </c>
      <c r="B9">
        <v>7528.067</v>
      </c>
      <c r="C9">
        <v>3793.0390000000002</v>
      </c>
      <c r="D9">
        <v>1.98</v>
      </c>
      <c r="E9">
        <v>4.7E-2</v>
      </c>
      <c r="G9">
        <v>93.846649999999997</v>
      </c>
      <c r="H9">
        <v>14962.29</v>
      </c>
    </row>
    <row r="10" spans="1:20" x14ac:dyDescent="0.2">
      <c r="A10" t="s">
        <v>14</v>
      </c>
      <c r="B10">
        <v>10078.27</v>
      </c>
      <c r="C10">
        <v>4347.7650000000003</v>
      </c>
      <c r="D10">
        <v>2.3199999999999998</v>
      </c>
      <c r="E10">
        <v>0.02</v>
      </c>
      <c r="G10">
        <v>1556.807</v>
      </c>
      <c r="H10">
        <v>18599.73</v>
      </c>
    </row>
    <row r="11" spans="1:20" x14ac:dyDescent="0.2">
      <c r="A11" t="s">
        <v>15</v>
      </c>
      <c r="B11">
        <v>10401.26</v>
      </c>
      <c r="C11">
        <v>17013.25</v>
      </c>
      <c r="D11">
        <v>0.61</v>
      </c>
      <c r="E11">
        <v>0.54100000000000004</v>
      </c>
      <c r="G11">
        <v>22944.09</v>
      </c>
      <c r="H11">
        <v>43746.61</v>
      </c>
    </row>
    <row r="12" spans="1:20" ht="19" x14ac:dyDescent="0.25">
      <c r="A12" t="s">
        <v>16</v>
      </c>
      <c r="B12">
        <v>6130.6779999999999</v>
      </c>
      <c r="C12">
        <v>11890.78</v>
      </c>
      <c r="D12">
        <v>0.52</v>
      </c>
      <c r="E12">
        <v>0.60599999999999998</v>
      </c>
      <c r="G12">
        <v>17174.830000000002</v>
      </c>
      <c r="H12">
        <v>29436.19</v>
      </c>
      <c r="T12" s="28"/>
    </row>
    <row r="13" spans="1:20" x14ac:dyDescent="0.2">
      <c r="A13" t="s">
        <v>17</v>
      </c>
      <c r="B13">
        <v>4482.2169999999996</v>
      </c>
      <c r="C13">
        <v>7058.6750000000002</v>
      </c>
      <c r="D13">
        <v>0.63</v>
      </c>
      <c r="E13">
        <v>0.52500000000000002</v>
      </c>
      <c r="G13">
        <v>9352.5319999999992</v>
      </c>
      <c r="H13">
        <v>18316.97</v>
      </c>
    </row>
    <row r="14" spans="1:20" x14ac:dyDescent="0.2">
      <c r="A14" t="s">
        <v>64</v>
      </c>
      <c r="B14">
        <v>5.2705099999999998E-2</v>
      </c>
      <c r="C14">
        <v>0.19547059999999999</v>
      </c>
      <c r="D14">
        <v>0.27</v>
      </c>
      <c r="E14">
        <v>0.78700000000000003</v>
      </c>
      <c r="G14">
        <v>0.33041029999999999</v>
      </c>
      <c r="H14">
        <v>0.4358205</v>
      </c>
    </row>
    <row r="15" spans="1:20" x14ac:dyDescent="0.2">
      <c r="A15" t="s">
        <v>65</v>
      </c>
      <c r="B15">
        <v>1.217867</v>
      </c>
      <c r="C15">
        <v>0.15083940000000001</v>
      </c>
      <c r="D15">
        <v>8.07</v>
      </c>
      <c r="E15">
        <v>0</v>
      </c>
      <c r="G15">
        <v>0.92222689999999996</v>
      </c>
      <c r="H15">
        <v>1.513506</v>
      </c>
    </row>
    <row r="16" spans="1:20" x14ac:dyDescent="0.2">
      <c r="A16" t="s">
        <v>66</v>
      </c>
      <c r="B16">
        <v>-8.9858599999999997E-2</v>
      </c>
      <c r="C16">
        <v>0.18602340000000001</v>
      </c>
      <c r="D16">
        <v>-0.48</v>
      </c>
      <c r="E16">
        <v>0.629</v>
      </c>
      <c r="G16">
        <v>0.45445770000000002</v>
      </c>
      <c r="H16">
        <v>0.2747405</v>
      </c>
    </row>
    <row r="17" spans="1:8" x14ac:dyDescent="0.2">
      <c r="A17" t="s">
        <v>67</v>
      </c>
      <c r="B17">
        <v>75.607209999999995</v>
      </c>
      <c r="C17">
        <v>72.816599999999994</v>
      </c>
      <c r="D17">
        <v>1.04</v>
      </c>
      <c r="E17">
        <v>0.29899999999999999</v>
      </c>
      <c r="G17">
        <v>67.110690000000005</v>
      </c>
      <c r="H17">
        <v>218.32509999999999</v>
      </c>
    </row>
    <row r="18" spans="1:8" x14ac:dyDescent="0.2">
      <c r="A18" t="s">
        <v>68</v>
      </c>
      <c r="B18">
        <v>-146.75389999999999</v>
      </c>
      <c r="C18">
        <v>72.908280000000005</v>
      </c>
      <c r="D18">
        <v>-2.0099999999999998</v>
      </c>
      <c r="E18">
        <v>4.3999999999999997E-2</v>
      </c>
      <c r="G18">
        <v>289.6515</v>
      </c>
      <c r="H18">
        <v>-3.8562850000000002</v>
      </c>
    </row>
    <row r="19" spans="1:8" x14ac:dyDescent="0.2">
      <c r="A19" t="s">
        <v>69</v>
      </c>
      <c r="B19">
        <v>-71.768550000000005</v>
      </c>
      <c r="C19">
        <v>74.947450000000003</v>
      </c>
      <c r="D19">
        <v>-0.96</v>
      </c>
      <c r="E19">
        <v>0.33800000000000002</v>
      </c>
      <c r="G19">
        <v>218.66290000000001</v>
      </c>
      <c r="H19">
        <v>75.12576</v>
      </c>
    </row>
    <row r="21" spans="1:8" x14ac:dyDescent="0.2">
      <c r="B21" t="s">
        <v>55</v>
      </c>
      <c r="C21" t="s">
        <v>56</v>
      </c>
    </row>
    <row r="23" spans="1:8" x14ac:dyDescent="0.2">
      <c r="A23" t="s">
        <v>63</v>
      </c>
      <c r="B23">
        <f>Comparison!G7</f>
        <v>4232.1310000000003</v>
      </c>
      <c r="C23">
        <f>B11</f>
        <v>10401.26</v>
      </c>
    </row>
    <row r="24" spans="1:8" x14ac:dyDescent="0.2">
      <c r="A24" t="s">
        <v>62</v>
      </c>
      <c r="B24">
        <f>Comparison!G6</f>
        <v>3028.7260000000001</v>
      </c>
      <c r="C24">
        <f>B12</f>
        <v>6130.6779999999999</v>
      </c>
    </row>
    <row r="25" spans="1:8" x14ac:dyDescent="0.2">
      <c r="A25" t="s">
        <v>61</v>
      </c>
      <c r="B25">
        <v>0</v>
      </c>
      <c r="C25">
        <f>B13</f>
        <v>4482.2169999999996</v>
      </c>
    </row>
    <row r="26" spans="1:8" x14ac:dyDescent="0.2">
      <c r="A26" t="s">
        <v>57</v>
      </c>
      <c r="B26">
        <f>Comparison!G8</f>
        <v>-2390.7919999999999</v>
      </c>
      <c r="C26">
        <f>B6</f>
        <v>2734.4</v>
      </c>
    </row>
    <row r="27" spans="1:8" x14ac:dyDescent="0.2">
      <c r="A27" t="s">
        <v>58</v>
      </c>
      <c r="B27">
        <f>Comparison!G9</f>
        <v>-3010.9430000000002</v>
      </c>
      <c r="C27">
        <f>B7</f>
        <v>3981.56</v>
      </c>
    </row>
    <row r="28" spans="1:8" x14ac:dyDescent="0.2">
      <c r="A28" t="s">
        <v>59</v>
      </c>
      <c r="B28">
        <f>Comparison!G10</f>
        <v>-7562.4250000000002</v>
      </c>
      <c r="C28">
        <f>B8</f>
        <v>4324.9110000000001</v>
      </c>
    </row>
    <row r="29" spans="1:8" x14ac:dyDescent="0.2">
      <c r="A29" t="s">
        <v>60</v>
      </c>
      <c r="B29">
        <f>Comparison!G11</f>
        <v>-10273.450000000001</v>
      </c>
      <c r="C29">
        <f>B9</f>
        <v>7528.067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AC8B8-5870-9F49-9CF1-E9C1F21BA9A2}">
  <dimension ref="A2:H29"/>
  <sheetViews>
    <sheetView workbookViewId="0">
      <selection activeCell="A21" sqref="A21:C29"/>
    </sheetView>
  </sheetViews>
  <sheetFormatPr baseColWidth="10" defaultRowHeight="16" x14ac:dyDescent="0.2"/>
  <sheetData>
    <row r="2" spans="1:8" x14ac:dyDescent="0.2">
      <c r="E2" t="s">
        <v>0</v>
      </c>
      <c r="F2" t="s">
        <v>1</v>
      </c>
      <c r="G2" t="s">
        <v>2</v>
      </c>
      <c r="H2" s="1">
        <v>8574</v>
      </c>
    </row>
    <row r="4" spans="1:8" x14ac:dyDescent="0.2">
      <c r="A4" t="s">
        <v>21</v>
      </c>
      <c r="B4" t="s">
        <v>4</v>
      </c>
      <c r="C4" t="s">
        <v>5</v>
      </c>
      <c r="D4" t="s">
        <v>6</v>
      </c>
      <c r="E4" t="s">
        <v>7</v>
      </c>
      <c r="G4" t="s">
        <v>8</v>
      </c>
      <c r="H4" t="s">
        <v>9</v>
      </c>
    </row>
    <row r="6" spans="1:8" x14ac:dyDescent="0.2">
      <c r="A6" t="s">
        <v>10</v>
      </c>
      <c r="B6">
        <v>219.00749999999999</v>
      </c>
      <c r="C6">
        <v>187.92910000000001</v>
      </c>
      <c r="D6">
        <v>1.17</v>
      </c>
      <c r="E6">
        <v>0.24399999999999999</v>
      </c>
      <c r="G6">
        <v>149.32679999999999</v>
      </c>
      <c r="H6">
        <v>587.34180000000003</v>
      </c>
    </row>
    <row r="7" spans="1:8" x14ac:dyDescent="0.2">
      <c r="A7" t="s">
        <v>11</v>
      </c>
      <c r="B7">
        <v>1117.8150000000001</v>
      </c>
      <c r="C7">
        <v>342.88529999999997</v>
      </c>
      <c r="D7">
        <v>3.26</v>
      </c>
      <c r="E7">
        <v>1E-3</v>
      </c>
      <c r="G7">
        <v>445.77190000000002</v>
      </c>
      <c r="H7">
        <v>1789.857</v>
      </c>
    </row>
    <row r="8" spans="1:8" x14ac:dyDescent="0.2">
      <c r="A8" t="s">
        <v>12</v>
      </c>
      <c r="B8">
        <v>3194.614</v>
      </c>
      <c r="C8">
        <v>554.74570000000006</v>
      </c>
      <c r="D8">
        <v>5.76</v>
      </c>
      <c r="E8">
        <v>0</v>
      </c>
      <c r="G8">
        <v>2107.3330000000001</v>
      </c>
      <c r="H8">
        <v>4281.8959999999997</v>
      </c>
    </row>
    <row r="9" spans="1:8" x14ac:dyDescent="0.2">
      <c r="A9" t="s">
        <v>13</v>
      </c>
      <c r="B9">
        <v>6046.4589999999998</v>
      </c>
      <c r="C9">
        <v>806.58989999999994</v>
      </c>
      <c r="D9">
        <v>7.5</v>
      </c>
      <c r="E9">
        <v>0</v>
      </c>
      <c r="G9">
        <v>4465.5720000000001</v>
      </c>
      <c r="H9">
        <v>7627.3459999999995</v>
      </c>
    </row>
    <row r="10" spans="1:8" x14ac:dyDescent="0.2">
      <c r="A10" t="s">
        <v>14</v>
      </c>
      <c r="B10">
        <v>9357.5249999999996</v>
      </c>
      <c r="C10">
        <v>897.61149999999998</v>
      </c>
      <c r="D10">
        <v>10.42</v>
      </c>
      <c r="E10">
        <v>0</v>
      </c>
      <c r="G10">
        <v>7598.2389999999996</v>
      </c>
      <c r="H10">
        <v>11116.81</v>
      </c>
    </row>
    <row r="11" spans="1:8" x14ac:dyDescent="0.2">
      <c r="A11" t="s">
        <v>15</v>
      </c>
      <c r="B11">
        <v>536.48220000000003</v>
      </c>
      <c r="C11">
        <v>1476.597</v>
      </c>
      <c r="D11">
        <v>0.36</v>
      </c>
      <c r="E11">
        <v>0.71599999999999997</v>
      </c>
      <c r="G11">
        <v>2357.5949999999998</v>
      </c>
      <c r="H11">
        <v>3430.5590000000002</v>
      </c>
    </row>
    <row r="12" spans="1:8" x14ac:dyDescent="0.2">
      <c r="A12" t="s">
        <v>16</v>
      </c>
      <c r="B12">
        <v>590.80939999999998</v>
      </c>
      <c r="C12">
        <v>1017.799</v>
      </c>
      <c r="D12">
        <v>0.57999999999999996</v>
      </c>
      <c r="E12">
        <v>0.56200000000000006</v>
      </c>
      <c r="G12">
        <v>1404.0409999999999</v>
      </c>
      <c r="H12">
        <v>2585.6590000000001</v>
      </c>
    </row>
    <row r="13" spans="1:8" x14ac:dyDescent="0.2">
      <c r="A13" t="s">
        <v>17</v>
      </c>
      <c r="B13">
        <v>526.24980000000005</v>
      </c>
      <c r="C13">
        <v>566.71500000000003</v>
      </c>
      <c r="D13">
        <v>0.93</v>
      </c>
      <c r="E13">
        <v>0.35299999999999998</v>
      </c>
      <c r="G13">
        <v>584.49120000000005</v>
      </c>
      <c r="H13">
        <v>1636.991</v>
      </c>
    </row>
    <row r="14" spans="1:8" x14ac:dyDescent="0.2">
      <c r="A14" t="s">
        <v>64</v>
      </c>
      <c r="B14">
        <v>-4.0813999999999998E-3</v>
      </c>
      <c r="C14">
        <v>4.0527000000000002E-3</v>
      </c>
      <c r="D14">
        <v>-1.01</v>
      </c>
      <c r="E14">
        <v>0.314</v>
      </c>
      <c r="G14">
        <v>1.20245E-2</v>
      </c>
      <c r="H14">
        <v>3.8617E-3</v>
      </c>
    </row>
    <row r="15" spans="1:8" x14ac:dyDescent="0.2">
      <c r="A15" t="s">
        <v>65</v>
      </c>
      <c r="B15">
        <v>-3.3170999999999999E-3</v>
      </c>
      <c r="C15">
        <v>1.9333E-3</v>
      </c>
      <c r="D15">
        <v>-1.72</v>
      </c>
      <c r="E15">
        <v>8.5999999999999993E-2</v>
      </c>
      <c r="G15">
        <v>7.1063000000000003E-3</v>
      </c>
      <c r="H15">
        <v>4.7209999999999998E-4</v>
      </c>
    </row>
    <row r="16" spans="1:8" x14ac:dyDescent="0.2">
      <c r="A16" t="s">
        <v>66</v>
      </c>
      <c r="B16">
        <v>1.2899999999999999E-3</v>
      </c>
      <c r="C16">
        <v>2.2334999999999998E-3</v>
      </c>
      <c r="D16">
        <v>0.57999999999999996</v>
      </c>
      <c r="E16">
        <v>0.56399999999999995</v>
      </c>
      <c r="G16">
        <v>3.0877000000000001E-3</v>
      </c>
      <c r="H16">
        <v>5.6677000000000003E-3</v>
      </c>
    </row>
    <row r="17" spans="1:8" x14ac:dyDescent="0.2">
      <c r="A17" t="s">
        <v>67</v>
      </c>
      <c r="B17">
        <v>2.0047730000000001</v>
      </c>
      <c r="C17">
        <v>10.55212</v>
      </c>
      <c r="D17">
        <v>0.19</v>
      </c>
      <c r="E17">
        <v>0.84899999999999998</v>
      </c>
      <c r="G17">
        <v>18.67699</v>
      </c>
      <c r="H17">
        <v>22.686540000000001</v>
      </c>
    </row>
    <row r="18" spans="1:8" x14ac:dyDescent="0.2">
      <c r="A18" t="s">
        <v>68</v>
      </c>
      <c r="B18">
        <v>-1.762027</v>
      </c>
      <c r="C18">
        <v>7.5908129999999998</v>
      </c>
      <c r="D18">
        <v>-0.23</v>
      </c>
      <c r="E18">
        <v>0.81599999999999995</v>
      </c>
      <c r="G18">
        <v>16.639749999999999</v>
      </c>
      <c r="H18">
        <v>13.115690000000001</v>
      </c>
    </row>
    <row r="19" spans="1:8" x14ac:dyDescent="0.2">
      <c r="A19" t="s">
        <v>69</v>
      </c>
      <c r="B19">
        <v>-4.7026750000000002</v>
      </c>
      <c r="C19">
        <v>11.14058</v>
      </c>
      <c r="D19">
        <v>-0.42</v>
      </c>
      <c r="E19">
        <v>0.67300000000000004</v>
      </c>
      <c r="G19">
        <v>26.53781</v>
      </c>
      <c r="H19">
        <v>17.132459999999998</v>
      </c>
    </row>
    <row r="21" spans="1:8" x14ac:dyDescent="0.2">
      <c r="B21" t="s">
        <v>55</v>
      </c>
      <c r="C21" t="s">
        <v>56</v>
      </c>
    </row>
    <row r="23" spans="1:8" x14ac:dyDescent="0.2">
      <c r="A23" t="s">
        <v>63</v>
      </c>
      <c r="B23">
        <f>Comparison!H7</f>
        <v>-596.42600000000004</v>
      </c>
      <c r="C23">
        <f>B11</f>
        <v>536.48220000000003</v>
      </c>
    </row>
    <row r="24" spans="1:8" x14ac:dyDescent="0.2">
      <c r="A24" t="s">
        <v>62</v>
      </c>
      <c r="B24">
        <f>Comparison!H6</f>
        <v>-197.54470000000001</v>
      </c>
      <c r="C24">
        <f>B12</f>
        <v>590.80939999999998</v>
      </c>
    </row>
    <row r="25" spans="1:8" x14ac:dyDescent="0.2">
      <c r="A25" t="s">
        <v>61</v>
      </c>
      <c r="B25">
        <v>0</v>
      </c>
      <c r="C25">
        <f>B13</f>
        <v>526.24980000000005</v>
      </c>
    </row>
    <row r="26" spans="1:8" x14ac:dyDescent="0.2">
      <c r="A26" t="s">
        <v>57</v>
      </c>
      <c r="B26">
        <f>Comparison!H8</f>
        <v>829.76149999999996</v>
      </c>
      <c r="C26">
        <f>B6</f>
        <v>219.00749999999999</v>
      </c>
    </row>
    <row r="27" spans="1:8" x14ac:dyDescent="0.2">
      <c r="A27" t="s">
        <v>58</v>
      </c>
      <c r="B27">
        <f>Comparison!H9</f>
        <v>2376.2159999999999</v>
      </c>
      <c r="C27">
        <f>B7</f>
        <v>1117.8150000000001</v>
      </c>
    </row>
    <row r="28" spans="1:8" x14ac:dyDescent="0.2">
      <c r="A28" t="s">
        <v>59</v>
      </c>
      <c r="B28">
        <f>Comparison!H10</f>
        <v>4492.6149999999998</v>
      </c>
      <c r="C28">
        <f>B8</f>
        <v>3194.614</v>
      </c>
    </row>
    <row r="29" spans="1:8" x14ac:dyDescent="0.2">
      <c r="A29" t="s">
        <v>60</v>
      </c>
      <c r="B29">
        <f>Comparison!H11</f>
        <v>7697.6930000000002</v>
      </c>
      <c r="C29">
        <f>B9</f>
        <v>6046.4589999999998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45A8-96AA-CB42-85B4-1D89E9A601F7}">
  <dimension ref="A2:H29"/>
  <sheetViews>
    <sheetView topLeftCell="A2" workbookViewId="0">
      <selection activeCell="T23" sqref="T23"/>
    </sheetView>
  </sheetViews>
  <sheetFormatPr baseColWidth="10" defaultRowHeight="16" x14ac:dyDescent="0.2"/>
  <sheetData>
    <row r="2" spans="1:8" x14ac:dyDescent="0.2">
      <c r="E2" t="s">
        <v>0</v>
      </c>
      <c r="F2" t="s">
        <v>1</v>
      </c>
      <c r="G2" t="s">
        <v>2</v>
      </c>
      <c r="H2" s="1">
        <v>8574</v>
      </c>
    </row>
    <row r="4" spans="1:8" x14ac:dyDescent="0.2">
      <c r="A4" t="s">
        <v>22</v>
      </c>
      <c r="B4" t="s">
        <v>4</v>
      </c>
      <c r="C4" t="s">
        <v>5</v>
      </c>
      <c r="D4" t="s">
        <v>6</v>
      </c>
      <c r="E4" t="s">
        <v>7</v>
      </c>
      <c r="G4" t="s">
        <v>8</v>
      </c>
      <c r="H4" t="s">
        <v>9</v>
      </c>
    </row>
    <row r="6" spans="1:8" x14ac:dyDescent="0.2">
      <c r="A6" t="s">
        <v>10</v>
      </c>
      <c r="B6">
        <v>-1137.548</v>
      </c>
      <c r="C6">
        <v>2119.4560000000001</v>
      </c>
      <c r="D6">
        <v>-0.54</v>
      </c>
      <c r="E6">
        <v>0.59099999999999997</v>
      </c>
      <c r="G6">
        <v>5291.6059999999998</v>
      </c>
      <c r="H6">
        <v>3016.509</v>
      </c>
    </row>
    <row r="7" spans="1:8" x14ac:dyDescent="0.2">
      <c r="A7" t="s">
        <v>11</v>
      </c>
      <c r="B7">
        <v>-5448.6180000000004</v>
      </c>
      <c r="C7">
        <v>2936.9609999999998</v>
      </c>
      <c r="D7">
        <v>-1.86</v>
      </c>
      <c r="E7">
        <v>6.4000000000000001E-2</v>
      </c>
      <c r="G7">
        <v>11204.96</v>
      </c>
      <c r="H7">
        <v>307.72039999999998</v>
      </c>
    </row>
    <row r="8" spans="1:8" x14ac:dyDescent="0.2">
      <c r="A8" t="s">
        <v>12</v>
      </c>
      <c r="B8">
        <v>-6644.152</v>
      </c>
      <c r="C8">
        <v>3755.4479999999999</v>
      </c>
      <c r="D8">
        <v>-1.77</v>
      </c>
      <c r="E8">
        <v>7.6999999999999999E-2</v>
      </c>
      <c r="G8">
        <v>14004.69</v>
      </c>
      <c r="H8">
        <v>716.39110000000005</v>
      </c>
    </row>
    <row r="9" spans="1:8" x14ac:dyDescent="0.2">
      <c r="A9" t="s">
        <v>13</v>
      </c>
      <c r="B9">
        <v>-834.66010000000006</v>
      </c>
      <c r="C9">
        <v>4783.6360000000004</v>
      </c>
      <c r="D9">
        <v>-0.17</v>
      </c>
      <c r="E9">
        <v>0.86099999999999999</v>
      </c>
      <c r="G9">
        <v>10210.41</v>
      </c>
      <c r="H9">
        <v>8541.0939999999991</v>
      </c>
    </row>
    <row r="10" spans="1:8" x14ac:dyDescent="0.2">
      <c r="A10" t="s">
        <v>14</v>
      </c>
      <c r="B10">
        <v>402.33969999999999</v>
      </c>
      <c r="C10">
        <v>5566.27</v>
      </c>
      <c r="D10">
        <v>7.0000000000000007E-2</v>
      </c>
      <c r="E10">
        <v>0.94199999999999995</v>
      </c>
      <c r="G10">
        <v>10507.35</v>
      </c>
      <c r="H10">
        <v>11312.03</v>
      </c>
    </row>
    <row r="11" spans="1:8" x14ac:dyDescent="0.2">
      <c r="A11" t="s">
        <v>15</v>
      </c>
      <c r="B11">
        <v>6397.35</v>
      </c>
      <c r="C11">
        <v>16060.25</v>
      </c>
      <c r="D11">
        <v>0.4</v>
      </c>
      <c r="E11">
        <v>0.69</v>
      </c>
      <c r="G11">
        <v>25080.17</v>
      </c>
      <c r="H11">
        <v>37874.870000000003</v>
      </c>
    </row>
    <row r="12" spans="1:8" x14ac:dyDescent="0.2">
      <c r="A12" t="s">
        <v>16</v>
      </c>
      <c r="B12">
        <v>3596.5140000000001</v>
      </c>
      <c r="C12">
        <v>11220.72</v>
      </c>
      <c r="D12">
        <v>0.32</v>
      </c>
      <c r="E12">
        <v>0.749</v>
      </c>
      <c r="G12">
        <v>-18395.7</v>
      </c>
      <c r="H12">
        <v>25588.720000000001</v>
      </c>
    </row>
    <row r="13" spans="1:8" x14ac:dyDescent="0.2">
      <c r="A13" t="s">
        <v>17</v>
      </c>
      <c r="B13">
        <v>5289.3159999999998</v>
      </c>
      <c r="C13">
        <v>6899.1689999999999</v>
      </c>
      <c r="D13">
        <v>0.77</v>
      </c>
      <c r="E13">
        <v>0.443</v>
      </c>
      <c r="G13">
        <v>8232.8070000000007</v>
      </c>
      <c r="H13">
        <v>18811.439999999999</v>
      </c>
    </row>
    <row r="14" spans="1:8" x14ac:dyDescent="0.2">
      <c r="A14" t="s">
        <v>64</v>
      </c>
      <c r="B14">
        <v>-0.29468309999999998</v>
      </c>
      <c r="C14">
        <v>0.38135720000000001</v>
      </c>
      <c r="D14">
        <v>-0.77</v>
      </c>
      <c r="E14">
        <v>0.44</v>
      </c>
      <c r="G14">
        <v>-1.04213</v>
      </c>
      <c r="H14">
        <v>0.45276329999999998</v>
      </c>
    </row>
    <row r="15" spans="1:8" x14ac:dyDescent="0.2">
      <c r="A15" t="s">
        <v>65</v>
      </c>
      <c r="B15">
        <v>-4.5216800000000001E-2</v>
      </c>
      <c r="C15">
        <v>0.32539449999999998</v>
      </c>
      <c r="D15">
        <v>-0.14000000000000001</v>
      </c>
      <c r="E15">
        <v>0.88900000000000001</v>
      </c>
      <c r="G15">
        <v>0.68297839999999999</v>
      </c>
      <c r="H15">
        <v>0.59254470000000004</v>
      </c>
    </row>
    <row r="16" spans="1:8" x14ac:dyDescent="0.2">
      <c r="A16" t="s">
        <v>66</v>
      </c>
      <c r="B16">
        <v>1.2940830000000001</v>
      </c>
      <c r="C16">
        <v>0.36737419999999998</v>
      </c>
      <c r="D16">
        <v>3.52</v>
      </c>
      <c r="E16">
        <v>0</v>
      </c>
      <c r="G16">
        <v>0.57404319999999998</v>
      </c>
      <c r="H16">
        <v>2.0141239999999998</v>
      </c>
    </row>
    <row r="17" spans="1:8" x14ac:dyDescent="0.2">
      <c r="A17" t="s">
        <v>67</v>
      </c>
      <c r="B17">
        <v>64.617580000000004</v>
      </c>
      <c r="C17">
        <v>128.78280000000001</v>
      </c>
      <c r="D17">
        <v>0.5</v>
      </c>
      <c r="E17">
        <v>0.61599999999999999</v>
      </c>
      <c r="G17">
        <v>187.7921</v>
      </c>
      <c r="H17">
        <v>317.02730000000003</v>
      </c>
    </row>
    <row r="18" spans="1:8" x14ac:dyDescent="0.2">
      <c r="A18" t="s">
        <v>68</v>
      </c>
      <c r="B18">
        <v>-130.80019999999999</v>
      </c>
      <c r="C18">
        <v>123.8917</v>
      </c>
      <c r="D18">
        <v>-1.06</v>
      </c>
      <c r="E18">
        <v>0.29099999999999998</v>
      </c>
      <c r="G18">
        <v>373.62349999999998</v>
      </c>
      <c r="H18">
        <v>112.0231</v>
      </c>
    </row>
    <row r="19" spans="1:8" x14ac:dyDescent="0.2">
      <c r="A19" t="s">
        <v>69</v>
      </c>
      <c r="B19">
        <v>-198.42439999999999</v>
      </c>
      <c r="C19">
        <v>128.27889999999999</v>
      </c>
      <c r="D19">
        <v>-1.55</v>
      </c>
      <c r="E19">
        <v>0.122</v>
      </c>
      <c r="G19">
        <v>449.84640000000002</v>
      </c>
      <c r="H19">
        <v>52.997520000000002</v>
      </c>
    </row>
    <row r="21" spans="1:8" x14ac:dyDescent="0.2">
      <c r="B21" t="s">
        <v>55</v>
      </c>
      <c r="C21" t="s">
        <v>56</v>
      </c>
    </row>
    <row r="23" spans="1:8" x14ac:dyDescent="0.2">
      <c r="A23" t="s">
        <v>63</v>
      </c>
      <c r="B23">
        <f>Comparison!K7</f>
        <v>4403.2709999999997</v>
      </c>
      <c r="C23">
        <f>B11</f>
        <v>6397.35</v>
      </c>
    </row>
    <row r="24" spans="1:8" x14ac:dyDescent="0.2">
      <c r="A24" t="s">
        <v>62</v>
      </c>
      <c r="B24">
        <f>Comparison!K6</f>
        <v>3112.3150000000001</v>
      </c>
      <c r="C24">
        <f>B12</f>
        <v>3596.5140000000001</v>
      </c>
    </row>
    <row r="25" spans="1:8" x14ac:dyDescent="0.2">
      <c r="A25" t="s">
        <v>61</v>
      </c>
      <c r="B25">
        <v>0</v>
      </c>
      <c r="C25">
        <f>B13</f>
        <v>5289.3159999999998</v>
      </c>
    </row>
    <row r="26" spans="1:8" x14ac:dyDescent="0.2">
      <c r="A26" t="s">
        <v>57</v>
      </c>
      <c r="B26">
        <f>Comparison!K8</f>
        <v>-6691.348</v>
      </c>
      <c r="C26">
        <f>B6</f>
        <v>-1137.548</v>
      </c>
    </row>
    <row r="27" spans="1:8" x14ac:dyDescent="0.2">
      <c r="A27" t="s">
        <v>58</v>
      </c>
      <c r="B27">
        <f>Comparison!K9</f>
        <v>-11607.07</v>
      </c>
      <c r="C27">
        <f>B7</f>
        <v>-5448.6180000000004</v>
      </c>
    </row>
    <row r="28" spans="1:8" x14ac:dyDescent="0.2">
      <c r="A28" t="s">
        <v>59</v>
      </c>
      <c r="B28">
        <f>Comparison!K10</f>
        <v>-17777.64</v>
      </c>
      <c r="C28">
        <f>B8</f>
        <v>-6644.152</v>
      </c>
    </row>
    <row r="29" spans="1:8" x14ac:dyDescent="0.2">
      <c r="A29" t="s">
        <v>60</v>
      </c>
      <c r="B29">
        <f>Comparison!K11</f>
        <v>-19361.16</v>
      </c>
      <c r="C29">
        <f>B9</f>
        <v>-834.66010000000006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09103-3E2C-8247-BE99-1C7A0D9A9B1C}">
  <dimension ref="A1:H13"/>
  <sheetViews>
    <sheetView zoomScale="120" zoomScaleNormal="120" workbookViewId="0">
      <selection activeCell="B6" sqref="B6"/>
    </sheetView>
  </sheetViews>
  <sheetFormatPr baseColWidth="10" defaultRowHeight="16" x14ac:dyDescent="0.2"/>
  <sheetData>
    <row r="1" spans="1:8" x14ac:dyDescent="0.2">
      <c r="H1" s="1"/>
    </row>
    <row r="2" spans="1:8" x14ac:dyDescent="0.2">
      <c r="E2" t="s">
        <v>0</v>
      </c>
      <c r="F2" t="s">
        <v>1</v>
      </c>
      <c r="G2" t="s">
        <v>2</v>
      </c>
      <c r="H2" s="1">
        <v>69783</v>
      </c>
    </row>
    <row r="4" spans="1:8" x14ac:dyDescent="0.2">
      <c r="A4" t="s">
        <v>3</v>
      </c>
      <c r="B4" t="s">
        <v>4</v>
      </c>
      <c r="C4" t="s">
        <v>5</v>
      </c>
      <c r="D4" t="s">
        <v>6</v>
      </c>
      <c r="E4" t="s">
        <v>7</v>
      </c>
      <c r="G4" t="s">
        <v>8</v>
      </c>
      <c r="H4" t="s">
        <v>9</v>
      </c>
    </row>
    <row r="6" spans="1:8" x14ac:dyDescent="0.2">
      <c r="A6" t="s">
        <v>10</v>
      </c>
      <c r="B6">
        <v>1975.46</v>
      </c>
      <c r="C6">
        <v>175.33670000000001</v>
      </c>
      <c r="D6">
        <v>11.27</v>
      </c>
      <c r="E6">
        <v>0</v>
      </c>
      <c r="G6">
        <v>1631.807</v>
      </c>
      <c r="H6">
        <v>2319.114</v>
      </c>
    </row>
    <row r="7" spans="1:8" x14ac:dyDescent="0.2">
      <c r="A7" t="s">
        <v>11</v>
      </c>
      <c r="B7">
        <v>1443.0170000000001</v>
      </c>
      <c r="C7">
        <v>202.40450000000001</v>
      </c>
      <c r="D7">
        <v>7.13</v>
      </c>
      <c r="E7">
        <v>0</v>
      </c>
      <c r="G7">
        <v>1046.3119999999999</v>
      </c>
      <c r="H7">
        <v>1839.723</v>
      </c>
    </row>
    <row r="8" spans="1:8" x14ac:dyDescent="0.2">
      <c r="A8" t="s">
        <v>12</v>
      </c>
      <c r="B8">
        <v>1311.0809999999999</v>
      </c>
      <c r="C8">
        <v>225.45779999999999</v>
      </c>
      <c r="D8">
        <v>5.82</v>
      </c>
      <c r="E8">
        <v>0</v>
      </c>
      <c r="G8">
        <v>869.19150000000002</v>
      </c>
      <c r="H8">
        <v>1752.97</v>
      </c>
    </row>
    <row r="9" spans="1:8" x14ac:dyDescent="0.2">
      <c r="A9" t="s">
        <v>13</v>
      </c>
      <c r="B9">
        <v>1573.8610000000001</v>
      </c>
      <c r="C9">
        <v>295.73559999999998</v>
      </c>
      <c r="D9">
        <v>5.32</v>
      </c>
      <c r="E9">
        <v>0</v>
      </c>
      <c r="G9">
        <v>994.22969999999998</v>
      </c>
      <c r="H9">
        <v>2153.4920000000002</v>
      </c>
    </row>
    <row r="10" spans="1:8" x14ac:dyDescent="0.2">
      <c r="A10" t="s">
        <v>14</v>
      </c>
      <c r="B10">
        <v>1145.3530000000001</v>
      </c>
      <c r="C10">
        <v>348.17930000000001</v>
      </c>
      <c r="D10">
        <v>3.29</v>
      </c>
      <c r="E10">
        <v>1E-3</v>
      </c>
      <c r="G10">
        <v>462.93360000000001</v>
      </c>
      <c r="H10">
        <v>1827.7719999999999</v>
      </c>
    </row>
    <row r="11" spans="1:8" x14ac:dyDescent="0.2">
      <c r="A11" t="s">
        <v>15</v>
      </c>
      <c r="B11">
        <v>125.3339</v>
      </c>
      <c r="C11">
        <v>187.21979999999999</v>
      </c>
      <c r="D11">
        <v>0.67</v>
      </c>
      <c r="E11">
        <v>0.503</v>
      </c>
      <c r="G11">
        <v>241.61019999999999</v>
      </c>
      <c r="H11">
        <v>492.27809999999999</v>
      </c>
    </row>
    <row r="12" spans="1:8" x14ac:dyDescent="0.2">
      <c r="A12" t="s">
        <v>16</v>
      </c>
      <c r="B12">
        <v>68.931030000000007</v>
      </c>
      <c r="C12">
        <v>156.6103</v>
      </c>
      <c r="D12">
        <v>0.44</v>
      </c>
      <c r="E12">
        <v>0.66</v>
      </c>
      <c r="G12">
        <v>238.0196</v>
      </c>
      <c r="H12">
        <v>375.88170000000002</v>
      </c>
    </row>
    <row r="13" spans="1:8" x14ac:dyDescent="0.2">
      <c r="A13" t="s">
        <v>17</v>
      </c>
      <c r="B13">
        <v>58.482669999999999</v>
      </c>
      <c r="C13">
        <v>122.80500000000001</v>
      </c>
      <c r="D13">
        <v>0.48</v>
      </c>
      <c r="E13">
        <v>0.63400000000000001</v>
      </c>
      <c r="G13">
        <v>182.21080000000001</v>
      </c>
      <c r="H13">
        <v>299.17610000000002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07C29-151C-6E43-970C-4FD42E1AA43B}">
  <dimension ref="A2:H13"/>
  <sheetViews>
    <sheetView workbookViewId="0">
      <selection activeCell="G32" sqref="G32"/>
    </sheetView>
  </sheetViews>
  <sheetFormatPr baseColWidth="10" defaultRowHeight="16" x14ac:dyDescent="0.2"/>
  <sheetData>
    <row r="2" spans="1:8" x14ac:dyDescent="0.2">
      <c r="E2" t="s">
        <v>0</v>
      </c>
      <c r="F2" t="s">
        <v>1</v>
      </c>
      <c r="G2" t="s">
        <v>2</v>
      </c>
      <c r="H2" s="1">
        <v>55243</v>
      </c>
    </row>
    <row r="4" spans="1:8" x14ac:dyDescent="0.2">
      <c r="A4" t="s">
        <v>18</v>
      </c>
      <c r="B4" t="s">
        <v>4</v>
      </c>
      <c r="C4" t="s">
        <v>5</v>
      </c>
      <c r="D4" t="s">
        <v>6</v>
      </c>
      <c r="E4" t="s">
        <v>7</v>
      </c>
      <c r="G4" t="s">
        <v>8</v>
      </c>
      <c r="H4" t="s">
        <v>9</v>
      </c>
    </row>
    <row r="6" spans="1:8" x14ac:dyDescent="0.2">
      <c r="A6" t="s">
        <v>10</v>
      </c>
      <c r="B6">
        <v>-667.42809999999997</v>
      </c>
      <c r="C6">
        <v>310.69349999999997</v>
      </c>
      <c r="D6">
        <v>-2.15</v>
      </c>
      <c r="E6">
        <v>3.2000000000000001E-2</v>
      </c>
      <c r="G6">
        <v>1276.376</v>
      </c>
      <c r="H6">
        <v>-58.48</v>
      </c>
    </row>
    <row r="7" spans="1:8" x14ac:dyDescent="0.2">
      <c r="A7" t="s">
        <v>11</v>
      </c>
      <c r="B7">
        <v>-572.16510000000005</v>
      </c>
      <c r="C7">
        <v>397.17219999999998</v>
      </c>
      <c r="D7">
        <v>-1.44</v>
      </c>
      <c r="E7">
        <v>0.15</v>
      </c>
      <c r="G7">
        <v>1350.6079999999999</v>
      </c>
      <c r="H7">
        <v>206.2782</v>
      </c>
    </row>
    <row r="8" spans="1:8" x14ac:dyDescent="0.2">
      <c r="A8" t="s">
        <v>12</v>
      </c>
      <c r="B8">
        <v>278.23930000000001</v>
      </c>
      <c r="C8">
        <v>533.8818</v>
      </c>
      <c r="D8">
        <v>0.52</v>
      </c>
      <c r="E8">
        <v>0.60199999999999998</v>
      </c>
      <c r="G8">
        <v>768.14980000000003</v>
      </c>
      <c r="H8">
        <v>1324.6279999999999</v>
      </c>
    </row>
    <row r="9" spans="1:8" x14ac:dyDescent="0.2">
      <c r="A9" t="s">
        <v>13</v>
      </c>
      <c r="B9">
        <v>1437.1410000000001</v>
      </c>
      <c r="C9">
        <v>641.2518</v>
      </c>
      <c r="D9">
        <v>2.2400000000000002</v>
      </c>
      <c r="E9">
        <v>2.5000000000000001E-2</v>
      </c>
      <c r="G9">
        <v>180.31030000000001</v>
      </c>
      <c r="H9">
        <v>2693.971</v>
      </c>
    </row>
    <row r="10" spans="1:8" x14ac:dyDescent="0.2">
      <c r="A10" t="s">
        <v>14</v>
      </c>
      <c r="B10">
        <v>2168.1350000000002</v>
      </c>
      <c r="C10">
        <v>789.09910000000002</v>
      </c>
      <c r="D10">
        <v>2.75</v>
      </c>
      <c r="E10">
        <v>6.0000000000000001E-3</v>
      </c>
      <c r="G10">
        <v>621.52930000000003</v>
      </c>
      <c r="H10">
        <v>3714.741</v>
      </c>
    </row>
    <row r="11" spans="1:8" x14ac:dyDescent="0.2">
      <c r="A11" t="s">
        <v>15</v>
      </c>
      <c r="B11">
        <v>679.5018</v>
      </c>
      <c r="C11">
        <v>1151.0809999999999</v>
      </c>
      <c r="D11">
        <v>0.59</v>
      </c>
      <c r="E11">
        <v>0.55500000000000005</v>
      </c>
      <c r="G11">
        <v>1576.575</v>
      </c>
      <c r="H11">
        <v>2935.578</v>
      </c>
    </row>
    <row r="12" spans="1:8" x14ac:dyDescent="0.2">
      <c r="A12" t="s">
        <v>16</v>
      </c>
      <c r="B12">
        <v>990.95809999999994</v>
      </c>
      <c r="C12">
        <v>902.42309999999998</v>
      </c>
      <c r="D12">
        <v>1.1000000000000001</v>
      </c>
      <c r="E12">
        <v>0.27200000000000002</v>
      </c>
      <c r="G12">
        <v>777.7586</v>
      </c>
      <c r="H12">
        <v>2759.6750000000002</v>
      </c>
    </row>
    <row r="13" spans="1:8" x14ac:dyDescent="0.2">
      <c r="A13" t="s">
        <v>17</v>
      </c>
      <c r="B13">
        <v>231.94319999999999</v>
      </c>
      <c r="C13">
        <v>663.03890000000001</v>
      </c>
      <c r="D13">
        <v>0.35</v>
      </c>
      <c r="E13">
        <v>0.72599999999999998</v>
      </c>
      <c r="G13">
        <v>1067.5889999999999</v>
      </c>
      <c r="H13">
        <v>1531.4760000000001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C9935-ECED-A04A-A377-95FFA687B487}">
  <dimension ref="A2:H13"/>
  <sheetViews>
    <sheetView workbookViewId="0">
      <selection activeCell="A2" sqref="A2:H13"/>
    </sheetView>
  </sheetViews>
  <sheetFormatPr baseColWidth="10" defaultRowHeight="16" x14ac:dyDescent="0.2"/>
  <sheetData>
    <row r="2" spans="1:8" x14ac:dyDescent="0.2">
      <c r="E2" t="s">
        <v>0</v>
      </c>
      <c r="F2" t="s">
        <v>1</v>
      </c>
      <c r="G2" t="s">
        <v>2</v>
      </c>
      <c r="H2" s="1">
        <v>69783</v>
      </c>
    </row>
    <row r="4" spans="1:8" x14ac:dyDescent="0.2">
      <c r="A4" t="s">
        <v>19</v>
      </c>
      <c r="B4" t="s">
        <v>4</v>
      </c>
      <c r="C4" t="s">
        <v>5</v>
      </c>
      <c r="D4" t="s">
        <v>6</v>
      </c>
      <c r="E4" t="s">
        <v>7</v>
      </c>
      <c r="G4" t="s">
        <v>8</v>
      </c>
      <c r="H4" t="s">
        <v>9</v>
      </c>
    </row>
    <row r="6" spans="1:8" x14ac:dyDescent="0.2">
      <c r="A6" t="s">
        <v>10</v>
      </c>
      <c r="B6">
        <v>-2.6494559999999998</v>
      </c>
      <c r="C6">
        <v>0.61735309999999999</v>
      </c>
      <c r="D6">
        <v>-4.29</v>
      </c>
      <c r="E6">
        <v>0</v>
      </c>
      <c r="G6">
        <v>3.8594460000000002</v>
      </c>
      <c r="H6">
        <v>-1.4394659999999999</v>
      </c>
    </row>
    <row r="7" spans="1:8" x14ac:dyDescent="0.2">
      <c r="A7" t="s">
        <v>11</v>
      </c>
      <c r="B7">
        <v>-1.7334769999999999</v>
      </c>
      <c r="C7">
        <v>0.76630679999999995</v>
      </c>
      <c r="D7">
        <v>-2.2599999999999998</v>
      </c>
      <c r="E7">
        <v>2.4E-2</v>
      </c>
      <c r="G7">
        <v>3.235411</v>
      </c>
      <c r="H7">
        <v>-0.23154340000000001</v>
      </c>
    </row>
    <row r="8" spans="1:8" x14ac:dyDescent="0.2">
      <c r="A8" t="s">
        <v>12</v>
      </c>
      <c r="B8">
        <v>5.5037599999999999E-2</v>
      </c>
      <c r="C8">
        <v>0.94086049999999999</v>
      </c>
      <c r="D8">
        <v>0.06</v>
      </c>
      <c r="E8">
        <v>0.95299999999999996</v>
      </c>
      <c r="G8">
        <v>1.789015</v>
      </c>
      <c r="H8">
        <v>1.8990899999999999</v>
      </c>
    </row>
    <row r="9" spans="1:8" x14ac:dyDescent="0.2">
      <c r="A9" t="s">
        <v>13</v>
      </c>
      <c r="B9">
        <v>1.5500350000000001</v>
      </c>
      <c r="C9">
        <v>1.1955100000000001</v>
      </c>
      <c r="D9">
        <v>1.3</v>
      </c>
      <c r="E9">
        <v>0.19500000000000001</v>
      </c>
      <c r="G9">
        <v>0.7931222</v>
      </c>
      <c r="H9">
        <v>3.893192</v>
      </c>
    </row>
    <row r="10" spans="1:8" x14ac:dyDescent="0.2">
      <c r="A10" t="s">
        <v>14</v>
      </c>
      <c r="B10">
        <v>3.0020349999999998</v>
      </c>
      <c r="C10">
        <v>1.444102</v>
      </c>
      <c r="D10">
        <v>2.08</v>
      </c>
      <c r="E10">
        <v>3.7999999999999999E-2</v>
      </c>
      <c r="G10">
        <v>0.1716463</v>
      </c>
      <c r="H10">
        <v>5.8324230000000004</v>
      </c>
    </row>
    <row r="11" spans="1:8" x14ac:dyDescent="0.2">
      <c r="A11" t="s">
        <v>15</v>
      </c>
      <c r="B11">
        <v>-2.1516009999999999</v>
      </c>
      <c r="C11">
        <v>1.285285</v>
      </c>
      <c r="D11">
        <v>-1.67</v>
      </c>
      <c r="E11">
        <v>9.4E-2</v>
      </c>
      <c r="G11">
        <v>4.6707140000000003</v>
      </c>
      <c r="H11">
        <v>0.3675119</v>
      </c>
    </row>
    <row r="12" spans="1:8" x14ac:dyDescent="0.2">
      <c r="A12" t="s">
        <v>16</v>
      </c>
      <c r="B12">
        <v>-1.540829</v>
      </c>
      <c r="C12">
        <v>0.99567649999999996</v>
      </c>
      <c r="D12">
        <v>-1.55</v>
      </c>
      <c r="E12">
        <v>0.122</v>
      </c>
      <c r="G12">
        <v>3.4923190000000002</v>
      </c>
      <c r="H12">
        <v>0.41066150000000001</v>
      </c>
    </row>
    <row r="13" spans="1:8" x14ac:dyDescent="0.2">
      <c r="A13" t="s">
        <v>17</v>
      </c>
      <c r="B13">
        <v>-0.77823469999999995</v>
      </c>
      <c r="C13">
        <v>0.72112540000000003</v>
      </c>
      <c r="D13">
        <v>-1.08</v>
      </c>
      <c r="E13">
        <v>0.28100000000000003</v>
      </c>
      <c r="G13">
        <v>2.1916150000000001</v>
      </c>
      <c r="H13">
        <v>0.63514510000000002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D5186-1B29-104C-804B-C3F1EFA23EA1}">
  <dimension ref="A2:H13"/>
  <sheetViews>
    <sheetView workbookViewId="0">
      <selection activeCell="M33" sqref="M33"/>
    </sheetView>
  </sheetViews>
  <sheetFormatPr baseColWidth="10" defaultRowHeight="16" x14ac:dyDescent="0.2"/>
  <sheetData>
    <row r="2" spans="1:8" x14ac:dyDescent="0.2">
      <c r="E2" t="s">
        <v>0</v>
      </c>
      <c r="F2" t="s">
        <v>1</v>
      </c>
      <c r="G2" t="s">
        <v>2</v>
      </c>
      <c r="H2" s="1">
        <v>69783</v>
      </c>
    </row>
    <row r="4" spans="1:8" x14ac:dyDescent="0.2">
      <c r="A4" t="s">
        <v>20</v>
      </c>
      <c r="B4" t="s">
        <v>4</v>
      </c>
      <c r="C4" t="s">
        <v>5</v>
      </c>
      <c r="D4" t="s">
        <v>6</v>
      </c>
      <c r="E4" t="s">
        <v>7</v>
      </c>
      <c r="G4" t="s">
        <v>8</v>
      </c>
      <c r="H4" t="s">
        <v>9</v>
      </c>
    </row>
    <row r="6" spans="1:8" x14ac:dyDescent="0.2">
      <c r="A6" t="s">
        <v>10</v>
      </c>
      <c r="B6">
        <v>166.5789</v>
      </c>
      <c r="C6">
        <v>311.91269999999997</v>
      </c>
      <c r="D6">
        <v>0.53</v>
      </c>
      <c r="E6">
        <v>0.59299999999999997</v>
      </c>
      <c r="G6">
        <v>444.75869999999998</v>
      </c>
      <c r="H6">
        <v>777.91650000000004</v>
      </c>
    </row>
    <row r="7" spans="1:8" x14ac:dyDescent="0.2">
      <c r="A7" t="s">
        <v>11</v>
      </c>
      <c r="B7">
        <v>911.85839999999996</v>
      </c>
      <c r="C7">
        <v>455.39170000000001</v>
      </c>
      <c r="D7">
        <v>2</v>
      </c>
      <c r="E7">
        <v>4.4999999999999998E-2</v>
      </c>
      <c r="G7">
        <v>19.306999999999999</v>
      </c>
      <c r="H7">
        <v>1804.41</v>
      </c>
    </row>
    <row r="8" spans="1:8" x14ac:dyDescent="0.2">
      <c r="A8" t="s">
        <v>12</v>
      </c>
      <c r="B8">
        <v>1923.9659999999999</v>
      </c>
      <c r="C8">
        <v>580.62279999999998</v>
      </c>
      <c r="D8">
        <v>3.31</v>
      </c>
      <c r="E8">
        <v>1E-3</v>
      </c>
      <c r="G8">
        <v>785.96619999999996</v>
      </c>
      <c r="H8">
        <v>3061.9659999999999</v>
      </c>
    </row>
    <row r="9" spans="1:8" x14ac:dyDescent="0.2">
      <c r="A9" t="s">
        <v>13</v>
      </c>
      <c r="B9">
        <v>2474.6149999999998</v>
      </c>
      <c r="C9">
        <v>721.15920000000006</v>
      </c>
      <c r="D9">
        <v>3.43</v>
      </c>
      <c r="E9">
        <v>1E-3</v>
      </c>
      <c r="G9">
        <v>1061.1690000000001</v>
      </c>
      <c r="H9">
        <v>3888.0610000000001</v>
      </c>
    </row>
    <row r="10" spans="1:8" x14ac:dyDescent="0.2">
      <c r="A10" t="s">
        <v>14</v>
      </c>
      <c r="B10">
        <v>3343.6460000000002</v>
      </c>
      <c r="C10">
        <v>867.97680000000003</v>
      </c>
      <c r="D10">
        <v>3.85</v>
      </c>
      <c r="E10">
        <v>0</v>
      </c>
      <c r="G10">
        <v>1642.443</v>
      </c>
      <c r="H10">
        <v>5044.8490000000002</v>
      </c>
    </row>
    <row r="11" spans="1:8" x14ac:dyDescent="0.2">
      <c r="A11" t="s">
        <v>15</v>
      </c>
      <c r="B11">
        <v>1514.1310000000001</v>
      </c>
      <c r="C11">
        <v>982.98630000000003</v>
      </c>
      <c r="D11">
        <v>1.54</v>
      </c>
      <c r="E11">
        <v>0.123</v>
      </c>
      <c r="G11">
        <v>412.48660000000001</v>
      </c>
      <c r="H11">
        <v>3440.7489999999998</v>
      </c>
    </row>
    <row r="12" spans="1:8" x14ac:dyDescent="0.2">
      <c r="A12" t="s">
        <v>16</v>
      </c>
      <c r="B12">
        <v>668.69920000000002</v>
      </c>
      <c r="C12">
        <v>767.31089999999995</v>
      </c>
      <c r="D12">
        <v>0.87</v>
      </c>
      <c r="E12">
        <v>0.38300000000000001</v>
      </c>
      <c r="G12">
        <v>835.20249999999999</v>
      </c>
      <c r="H12">
        <v>2172.6010000000001</v>
      </c>
    </row>
    <row r="13" spans="1:8" x14ac:dyDescent="0.2">
      <c r="A13" t="s">
        <v>17</v>
      </c>
      <c r="B13">
        <v>73.730609999999999</v>
      </c>
      <c r="C13">
        <v>564.5942</v>
      </c>
      <c r="D13">
        <v>0.13</v>
      </c>
      <c r="E13">
        <v>0.89600000000000002</v>
      </c>
      <c r="G13">
        <v>1032.854</v>
      </c>
      <c r="H13">
        <v>1180.3150000000001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63084-A33C-E14B-8B77-9823CAECDBF8}">
  <dimension ref="A2:H13"/>
  <sheetViews>
    <sheetView workbookViewId="0">
      <selection activeCell="A2" sqref="A2:H13"/>
    </sheetView>
  </sheetViews>
  <sheetFormatPr baseColWidth="10" defaultRowHeight="16" x14ac:dyDescent="0.2"/>
  <sheetData>
    <row r="2" spans="1:8" x14ac:dyDescent="0.2">
      <c r="E2" t="s">
        <v>0</v>
      </c>
      <c r="F2" t="s">
        <v>1</v>
      </c>
      <c r="G2" t="s">
        <v>2</v>
      </c>
      <c r="H2" s="1">
        <v>69783</v>
      </c>
    </row>
    <row r="4" spans="1:8" x14ac:dyDescent="0.2">
      <c r="A4" t="s">
        <v>21</v>
      </c>
      <c r="B4" t="s">
        <v>4</v>
      </c>
      <c r="C4" t="s">
        <v>5</v>
      </c>
      <c r="D4" t="s">
        <v>6</v>
      </c>
      <c r="E4" t="s">
        <v>7</v>
      </c>
      <c r="G4" t="s">
        <v>8</v>
      </c>
      <c r="H4" t="s">
        <v>9</v>
      </c>
    </row>
    <row r="6" spans="1:8" x14ac:dyDescent="0.2">
      <c r="A6" t="s">
        <v>10</v>
      </c>
      <c r="B6">
        <v>234.41589999999999</v>
      </c>
      <c r="C6">
        <v>153.18520000000001</v>
      </c>
      <c r="D6">
        <v>1.53</v>
      </c>
      <c r="E6">
        <v>0.126</v>
      </c>
      <c r="G6">
        <v>65.821510000000004</v>
      </c>
      <c r="H6">
        <v>534.65329999999994</v>
      </c>
    </row>
    <row r="7" spans="1:8" x14ac:dyDescent="0.2">
      <c r="A7" t="s">
        <v>11</v>
      </c>
      <c r="B7">
        <v>394.93689999999998</v>
      </c>
      <c r="C7">
        <v>193.79750000000001</v>
      </c>
      <c r="D7">
        <v>2.04</v>
      </c>
      <c r="E7">
        <v>4.2000000000000003E-2</v>
      </c>
      <c r="G7">
        <v>15.10075</v>
      </c>
      <c r="H7">
        <v>774.7731</v>
      </c>
    </row>
    <row r="8" spans="1:8" x14ac:dyDescent="0.2">
      <c r="A8" t="s">
        <v>12</v>
      </c>
      <c r="B8">
        <v>175.04580000000001</v>
      </c>
      <c r="C8">
        <v>238.78870000000001</v>
      </c>
      <c r="D8">
        <v>0.73</v>
      </c>
      <c r="E8">
        <v>0.46400000000000002</v>
      </c>
      <c r="G8">
        <v>292.97140000000002</v>
      </c>
      <c r="H8">
        <v>643.06309999999996</v>
      </c>
    </row>
    <row r="9" spans="1:8" x14ac:dyDescent="0.2">
      <c r="A9" t="s">
        <v>13</v>
      </c>
      <c r="B9">
        <v>121.2651</v>
      </c>
      <c r="C9">
        <v>302.58550000000002</v>
      </c>
      <c r="D9">
        <v>0.4</v>
      </c>
      <c r="E9">
        <v>0.68899999999999995</v>
      </c>
      <c r="G9">
        <v>471.79169999999999</v>
      </c>
      <c r="H9">
        <v>714.32190000000003</v>
      </c>
    </row>
    <row r="10" spans="1:8" x14ac:dyDescent="0.2">
      <c r="A10" t="s">
        <v>14</v>
      </c>
      <c r="B10">
        <v>-339.28039999999999</v>
      </c>
      <c r="C10">
        <v>366.82260000000002</v>
      </c>
      <c r="D10">
        <v>-0.92</v>
      </c>
      <c r="E10">
        <v>0.35499999999999998</v>
      </c>
      <c r="G10">
        <v>1058.239</v>
      </c>
      <c r="H10">
        <v>379.67860000000002</v>
      </c>
    </row>
    <row r="11" spans="1:8" x14ac:dyDescent="0.2">
      <c r="A11" t="s">
        <v>15</v>
      </c>
      <c r="B11">
        <v>-621.3107</v>
      </c>
      <c r="C11">
        <v>272.43970000000002</v>
      </c>
      <c r="D11">
        <v>-2.2799999999999998</v>
      </c>
      <c r="E11">
        <v>2.3E-2</v>
      </c>
      <c r="G11">
        <v>1155.2829999999999</v>
      </c>
      <c r="H11">
        <v>-87.338650000000001</v>
      </c>
    </row>
    <row r="12" spans="1:8" x14ac:dyDescent="0.2">
      <c r="A12" t="s">
        <v>16</v>
      </c>
      <c r="B12">
        <v>-232.23609999999999</v>
      </c>
      <c r="C12">
        <v>210.81639999999999</v>
      </c>
      <c r="D12">
        <v>-1.1000000000000001</v>
      </c>
      <c r="E12">
        <v>0.27100000000000002</v>
      </c>
      <c r="G12">
        <v>645.42859999999996</v>
      </c>
      <c r="H12">
        <v>180.9564</v>
      </c>
    </row>
    <row r="13" spans="1:8" x14ac:dyDescent="0.2">
      <c r="A13" t="s">
        <v>17</v>
      </c>
      <c r="B13">
        <v>-118.43470000000001</v>
      </c>
      <c r="C13">
        <v>150.76820000000001</v>
      </c>
      <c r="D13">
        <v>-0.79</v>
      </c>
      <c r="E13">
        <v>0.432</v>
      </c>
      <c r="G13">
        <v>413.93490000000003</v>
      </c>
      <c r="H13">
        <v>177.06559999999999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F89AE-4E1D-8248-9F61-F5B885335D17}">
  <dimension ref="A2:H13"/>
  <sheetViews>
    <sheetView workbookViewId="0">
      <selection activeCell="B6" sqref="B6"/>
    </sheetView>
  </sheetViews>
  <sheetFormatPr baseColWidth="10" defaultRowHeight="16" x14ac:dyDescent="0.2"/>
  <sheetData>
    <row r="2" spans="1:8" x14ac:dyDescent="0.2">
      <c r="E2" t="s">
        <v>0</v>
      </c>
      <c r="F2" t="s">
        <v>1</v>
      </c>
      <c r="G2" t="s">
        <v>2</v>
      </c>
      <c r="H2" s="1">
        <v>69783</v>
      </c>
    </row>
    <row r="4" spans="1:8" x14ac:dyDescent="0.2">
      <c r="A4" t="s">
        <v>22</v>
      </c>
      <c r="B4" t="s">
        <v>4</v>
      </c>
      <c r="C4" t="s">
        <v>5</v>
      </c>
      <c r="D4" t="s">
        <v>6</v>
      </c>
      <c r="E4" t="s">
        <v>7</v>
      </c>
      <c r="G4" t="s">
        <v>8</v>
      </c>
      <c r="H4" t="s">
        <v>9</v>
      </c>
    </row>
    <row r="6" spans="1:8" x14ac:dyDescent="0.2">
      <c r="A6" t="s">
        <v>10</v>
      </c>
      <c r="B6">
        <v>-1554.6949999999999</v>
      </c>
      <c r="C6">
        <v>635.36289999999997</v>
      </c>
      <c r="D6">
        <v>-2.4500000000000002</v>
      </c>
      <c r="E6">
        <v>1.4E-2</v>
      </c>
      <c r="G6">
        <v>2799.9839999999999</v>
      </c>
      <c r="H6">
        <v>-309.4067</v>
      </c>
    </row>
    <row r="7" spans="1:8" x14ac:dyDescent="0.2">
      <c r="A7" t="s">
        <v>11</v>
      </c>
      <c r="B7">
        <v>-1236.336</v>
      </c>
      <c r="C7">
        <v>814.6694</v>
      </c>
      <c r="D7">
        <v>-1.52</v>
      </c>
      <c r="E7">
        <v>0.129</v>
      </c>
      <c r="G7">
        <v>2833.0590000000002</v>
      </c>
      <c r="H7">
        <v>360.38690000000003</v>
      </c>
    </row>
    <row r="8" spans="1:8" x14ac:dyDescent="0.2">
      <c r="A8" t="s">
        <v>12</v>
      </c>
      <c r="B8">
        <v>-302.9468</v>
      </c>
      <c r="C8">
        <v>971.15679999999998</v>
      </c>
      <c r="D8">
        <v>-0.31</v>
      </c>
      <c r="E8">
        <v>0.755</v>
      </c>
      <c r="G8">
        <v>2206.3789999999999</v>
      </c>
      <c r="H8">
        <v>1600.4860000000001</v>
      </c>
    </row>
    <row r="9" spans="1:8" x14ac:dyDescent="0.2">
      <c r="A9" t="s">
        <v>13</v>
      </c>
      <c r="B9">
        <v>-194.8759</v>
      </c>
      <c r="C9">
        <v>1186.1869999999999</v>
      </c>
      <c r="D9">
        <v>-0.16</v>
      </c>
      <c r="E9">
        <v>0.87</v>
      </c>
      <c r="G9">
        <v>2519.759</v>
      </c>
      <c r="H9">
        <v>2130.0079999999998</v>
      </c>
    </row>
    <row r="10" spans="1:8" x14ac:dyDescent="0.2">
      <c r="A10" t="s">
        <v>14</v>
      </c>
      <c r="B10">
        <v>1314.451</v>
      </c>
      <c r="C10">
        <v>1407.8230000000001</v>
      </c>
      <c r="D10">
        <v>0.93</v>
      </c>
      <c r="E10">
        <v>0.35</v>
      </c>
      <c r="G10">
        <v>1444.8320000000001</v>
      </c>
      <c r="H10">
        <v>4073.7339999999999</v>
      </c>
    </row>
    <row r="11" spans="1:8" x14ac:dyDescent="0.2">
      <c r="A11" t="s">
        <v>15</v>
      </c>
      <c r="B11">
        <v>-2267.5650000000001</v>
      </c>
      <c r="C11">
        <v>1737.021</v>
      </c>
      <c r="D11">
        <v>-1.31</v>
      </c>
      <c r="E11">
        <v>0.192</v>
      </c>
      <c r="G11">
        <v>5672.0630000000001</v>
      </c>
      <c r="H11">
        <v>1136.933</v>
      </c>
    </row>
    <row r="12" spans="1:8" x14ac:dyDescent="0.2">
      <c r="A12" t="s">
        <v>16</v>
      </c>
      <c r="B12">
        <v>-1108.97</v>
      </c>
      <c r="C12">
        <v>1368.1880000000001</v>
      </c>
      <c r="D12">
        <v>-0.81</v>
      </c>
      <c r="E12">
        <v>0.41799999999999998</v>
      </c>
      <c r="G12">
        <v>3790.5680000000002</v>
      </c>
      <c r="H12">
        <v>1572.6279999999999</v>
      </c>
    </row>
    <row r="13" spans="1:8" x14ac:dyDescent="0.2">
      <c r="A13" t="s">
        <v>17</v>
      </c>
      <c r="B13">
        <v>-1490.771</v>
      </c>
      <c r="C13">
        <v>1059.098</v>
      </c>
      <c r="D13">
        <v>-1.41</v>
      </c>
      <c r="E13">
        <v>0.159</v>
      </c>
      <c r="G13">
        <v>3566.5659999999998</v>
      </c>
      <c r="H13">
        <v>585.0231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1398B-E821-0C4C-AC8F-2272935E63D8}">
  <dimension ref="A1:H13"/>
  <sheetViews>
    <sheetView workbookViewId="0">
      <selection activeCell="B8" sqref="B8"/>
    </sheetView>
  </sheetViews>
  <sheetFormatPr baseColWidth="10" defaultRowHeight="16" x14ac:dyDescent="0.2"/>
  <sheetData>
    <row r="1" spans="1:8" x14ac:dyDescent="0.2">
      <c r="H1" s="1"/>
    </row>
    <row r="2" spans="1:8" x14ac:dyDescent="0.2">
      <c r="E2" t="s">
        <v>0</v>
      </c>
      <c r="F2" t="s">
        <v>1</v>
      </c>
      <c r="G2" t="s">
        <v>2</v>
      </c>
      <c r="H2" s="1">
        <v>85845</v>
      </c>
    </row>
    <row r="4" spans="1:8" x14ac:dyDescent="0.2">
      <c r="A4" t="s">
        <v>3</v>
      </c>
      <c r="B4" t="s">
        <v>4</v>
      </c>
      <c r="C4" t="s">
        <v>5</v>
      </c>
      <c r="D4" t="s">
        <v>6</v>
      </c>
      <c r="E4" t="s">
        <v>7</v>
      </c>
      <c r="G4" t="s">
        <v>8</v>
      </c>
      <c r="H4" t="s">
        <v>9</v>
      </c>
    </row>
    <row r="6" spans="1:8" x14ac:dyDescent="0.2">
      <c r="A6" t="s">
        <v>10</v>
      </c>
      <c r="B6">
        <v>1960.3579999999999</v>
      </c>
      <c r="C6">
        <v>174.26840000000001</v>
      </c>
      <c r="D6">
        <v>11.25</v>
      </c>
      <c r="E6">
        <v>0</v>
      </c>
      <c r="G6">
        <v>1618.798</v>
      </c>
      <c r="H6">
        <v>2301.9180000000001</v>
      </c>
    </row>
    <row r="7" spans="1:8" x14ac:dyDescent="0.2">
      <c r="A7" t="s">
        <v>11</v>
      </c>
      <c r="B7">
        <v>1316.702</v>
      </c>
      <c r="C7">
        <v>178.2518</v>
      </c>
      <c r="D7">
        <v>7.39</v>
      </c>
      <c r="E7">
        <v>0</v>
      </c>
      <c r="G7">
        <v>967.33519999999999</v>
      </c>
      <c r="H7">
        <v>1666.07</v>
      </c>
    </row>
    <row r="8" spans="1:8" x14ac:dyDescent="0.2">
      <c r="A8" t="s">
        <v>12</v>
      </c>
      <c r="B8">
        <v>1200.3320000000001</v>
      </c>
      <c r="C8">
        <v>199.1456</v>
      </c>
      <c r="D8">
        <v>6.03</v>
      </c>
      <c r="E8">
        <v>0</v>
      </c>
      <c r="G8">
        <v>810.01350000000002</v>
      </c>
      <c r="H8">
        <v>1590.65</v>
      </c>
    </row>
    <row r="9" spans="1:8" x14ac:dyDescent="0.2">
      <c r="A9" t="s">
        <v>13</v>
      </c>
      <c r="B9">
        <v>1457.4169999999999</v>
      </c>
      <c r="C9">
        <v>268.71679999999998</v>
      </c>
      <c r="D9">
        <v>5.42</v>
      </c>
      <c r="E9">
        <v>0</v>
      </c>
      <c r="G9">
        <v>930.74210000000005</v>
      </c>
      <c r="H9">
        <v>1984.0930000000001</v>
      </c>
    </row>
    <row r="10" spans="1:8" x14ac:dyDescent="0.2">
      <c r="A10" t="s">
        <v>14</v>
      </c>
      <c r="B10">
        <v>1106.126</v>
      </c>
      <c r="C10">
        <v>292.363</v>
      </c>
      <c r="D10">
        <v>3.78</v>
      </c>
      <c r="E10">
        <v>0</v>
      </c>
      <c r="G10">
        <v>533.10500000000002</v>
      </c>
      <c r="H10">
        <v>1679.1469999999999</v>
      </c>
    </row>
    <row r="11" spans="1:8" x14ac:dyDescent="0.2">
      <c r="A11" t="s">
        <v>15</v>
      </c>
      <c r="B11">
        <v>116.6748</v>
      </c>
      <c r="C11">
        <v>176.1147</v>
      </c>
      <c r="D11">
        <v>0.66</v>
      </c>
      <c r="E11">
        <v>0.50800000000000001</v>
      </c>
      <c r="G11">
        <v>228.5035</v>
      </c>
      <c r="H11">
        <v>461.85320000000002</v>
      </c>
    </row>
    <row r="12" spans="1:8" x14ac:dyDescent="0.2">
      <c r="A12" t="s">
        <v>16</v>
      </c>
      <c r="B12">
        <v>68.482699999999994</v>
      </c>
      <c r="C12">
        <v>146.62219999999999</v>
      </c>
      <c r="D12">
        <v>0.47</v>
      </c>
      <c r="E12">
        <v>0.64</v>
      </c>
      <c r="G12">
        <v>218.89150000000001</v>
      </c>
      <c r="H12">
        <v>355.8569</v>
      </c>
    </row>
    <row r="13" spans="1:8" x14ac:dyDescent="0.2">
      <c r="A13" t="s">
        <v>17</v>
      </c>
      <c r="B13">
        <v>42.937939999999998</v>
      </c>
      <c r="C13">
        <v>115.68980000000001</v>
      </c>
      <c r="D13">
        <v>0.37</v>
      </c>
      <c r="E13">
        <v>0.71099999999999997</v>
      </c>
      <c r="G13">
        <v>183.8099</v>
      </c>
      <c r="H13">
        <v>269.68579999999997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F5F97-59CF-294E-A8D9-5E4348F11254}">
  <dimension ref="A2:H13"/>
  <sheetViews>
    <sheetView workbookViewId="0">
      <selection activeCell="A2" sqref="A2:H13"/>
    </sheetView>
  </sheetViews>
  <sheetFormatPr baseColWidth="10" defaultRowHeight="16" x14ac:dyDescent="0.2"/>
  <sheetData>
    <row r="2" spans="1:8" x14ac:dyDescent="0.2">
      <c r="E2" t="s">
        <v>0</v>
      </c>
      <c r="F2" t="s">
        <v>1</v>
      </c>
      <c r="G2" t="s">
        <v>2</v>
      </c>
      <c r="H2" s="1">
        <v>64712</v>
      </c>
    </row>
    <row r="3" spans="1:8" x14ac:dyDescent="0.2">
      <c r="H3" s="1"/>
    </row>
    <row r="4" spans="1:8" x14ac:dyDescent="0.2">
      <c r="A4" t="s">
        <v>18</v>
      </c>
      <c r="B4" t="s">
        <v>4</v>
      </c>
      <c r="C4" t="s">
        <v>5</v>
      </c>
      <c r="D4" t="s">
        <v>6</v>
      </c>
      <c r="E4" t="s">
        <v>7</v>
      </c>
      <c r="G4" t="s">
        <v>8</v>
      </c>
      <c r="H4" t="s">
        <v>9</v>
      </c>
    </row>
    <row r="6" spans="1:8" x14ac:dyDescent="0.2">
      <c r="A6" t="s">
        <v>10</v>
      </c>
      <c r="B6">
        <v>-1023.9349999999999</v>
      </c>
      <c r="C6">
        <v>310.24669999999998</v>
      </c>
      <c r="D6">
        <v>-3.3</v>
      </c>
      <c r="E6">
        <v>1E-3</v>
      </c>
      <c r="G6">
        <v>1632.0070000000001</v>
      </c>
      <c r="H6">
        <v>-415.86290000000002</v>
      </c>
    </row>
    <row r="7" spans="1:8" x14ac:dyDescent="0.2">
      <c r="A7" t="s">
        <v>11</v>
      </c>
      <c r="B7">
        <v>-1834.1030000000001</v>
      </c>
      <c r="C7">
        <v>409.15219999999999</v>
      </c>
      <c r="D7">
        <v>-4.4800000000000004</v>
      </c>
      <c r="E7">
        <v>0</v>
      </c>
      <c r="G7">
        <v>2636.027</v>
      </c>
      <c r="H7">
        <v>-1032.1790000000001</v>
      </c>
    </row>
    <row r="8" spans="1:8" x14ac:dyDescent="0.2">
      <c r="A8" t="s">
        <v>12</v>
      </c>
      <c r="B8">
        <v>-1594.998</v>
      </c>
      <c r="C8">
        <v>537.51880000000006</v>
      </c>
      <c r="D8">
        <v>-2.97</v>
      </c>
      <c r="E8">
        <v>3.0000000000000001E-3</v>
      </c>
      <c r="G8">
        <v>2648.5149999999999</v>
      </c>
      <c r="H8">
        <v>-541.48019999999997</v>
      </c>
    </row>
    <row r="9" spans="1:8" x14ac:dyDescent="0.2">
      <c r="A9" t="s">
        <v>13</v>
      </c>
      <c r="B9">
        <v>-1147.5809999999999</v>
      </c>
      <c r="C9">
        <v>656.28890000000001</v>
      </c>
      <c r="D9">
        <v>-1.75</v>
      </c>
      <c r="E9">
        <v>0.08</v>
      </c>
      <c r="G9">
        <v>2433.884</v>
      </c>
      <c r="H9">
        <v>138.72149999999999</v>
      </c>
    </row>
    <row r="10" spans="1:8" x14ac:dyDescent="0.2">
      <c r="A10" t="s">
        <v>14</v>
      </c>
      <c r="B10">
        <v>-1058.6949999999999</v>
      </c>
      <c r="C10">
        <v>794.79840000000002</v>
      </c>
      <c r="D10">
        <v>-1.33</v>
      </c>
      <c r="E10">
        <v>0.183</v>
      </c>
      <c r="G10">
        <v>2616.471</v>
      </c>
      <c r="H10">
        <v>499.08100000000002</v>
      </c>
    </row>
    <row r="11" spans="1:8" x14ac:dyDescent="0.2">
      <c r="A11" t="s">
        <v>15</v>
      </c>
      <c r="B11">
        <v>1268.5830000000001</v>
      </c>
      <c r="C11">
        <v>1136.0920000000001</v>
      </c>
      <c r="D11">
        <v>1.1200000000000001</v>
      </c>
      <c r="E11">
        <v>0.26400000000000001</v>
      </c>
      <c r="G11">
        <v>958.11569999999995</v>
      </c>
      <c r="H11">
        <v>3495.2820000000002</v>
      </c>
    </row>
    <row r="12" spans="1:8" x14ac:dyDescent="0.2">
      <c r="A12" t="s">
        <v>16</v>
      </c>
      <c r="B12">
        <v>1118.357</v>
      </c>
      <c r="C12">
        <v>887.13810000000001</v>
      </c>
      <c r="D12">
        <v>1.26</v>
      </c>
      <c r="E12">
        <v>0.20699999999999999</v>
      </c>
      <c r="G12">
        <v>620.40150000000006</v>
      </c>
      <c r="H12">
        <v>2857.116</v>
      </c>
    </row>
    <row r="13" spans="1:8" x14ac:dyDescent="0.2">
      <c r="A13" t="s">
        <v>17</v>
      </c>
      <c r="B13">
        <v>434.28629999999998</v>
      </c>
      <c r="C13">
        <v>652.27409999999998</v>
      </c>
      <c r="D13">
        <v>0.67</v>
      </c>
      <c r="E13">
        <v>0.50600000000000001</v>
      </c>
      <c r="G13">
        <v>844.14739999999995</v>
      </c>
      <c r="H13">
        <v>1712.72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E55A-078D-034A-814A-75E7AAD0F704}">
  <dimension ref="A1:H13"/>
  <sheetViews>
    <sheetView workbookViewId="0">
      <selection activeCell="J20" sqref="J20"/>
    </sheetView>
  </sheetViews>
  <sheetFormatPr baseColWidth="10" defaultRowHeight="16" x14ac:dyDescent="0.2"/>
  <sheetData>
    <row r="1" spans="1:8" x14ac:dyDescent="0.2">
      <c r="H1" s="1"/>
    </row>
    <row r="2" spans="1:8" x14ac:dyDescent="0.2">
      <c r="E2" t="s">
        <v>0</v>
      </c>
      <c r="F2" t="s">
        <v>1</v>
      </c>
      <c r="G2" t="s">
        <v>2</v>
      </c>
      <c r="H2" s="1">
        <v>85845</v>
      </c>
    </row>
    <row r="4" spans="1:8" x14ac:dyDescent="0.2">
      <c r="A4" t="s">
        <v>19</v>
      </c>
      <c r="B4" t="s">
        <v>4</v>
      </c>
      <c r="C4" t="s">
        <v>5</v>
      </c>
      <c r="D4" t="s">
        <v>6</v>
      </c>
      <c r="E4" t="s">
        <v>7</v>
      </c>
      <c r="G4" t="s">
        <v>8</v>
      </c>
      <c r="H4" t="s">
        <v>9</v>
      </c>
    </row>
    <row r="6" spans="1:8" x14ac:dyDescent="0.2">
      <c r="A6" t="s">
        <v>10</v>
      </c>
      <c r="B6">
        <v>-3.3737729999999999</v>
      </c>
      <c r="C6">
        <v>0.60539520000000002</v>
      </c>
      <c r="D6">
        <v>-5.57</v>
      </c>
      <c r="E6">
        <v>0</v>
      </c>
      <c r="G6">
        <v>4.5603259999999999</v>
      </c>
      <c r="H6">
        <v>-2.1872199999999999</v>
      </c>
    </row>
    <row r="7" spans="1:8" x14ac:dyDescent="0.2">
      <c r="A7" t="s">
        <v>11</v>
      </c>
      <c r="B7">
        <v>-2.9808129999999999</v>
      </c>
      <c r="C7">
        <v>0.70449729999999999</v>
      </c>
      <c r="D7">
        <v>-4.2300000000000004</v>
      </c>
      <c r="E7">
        <v>0</v>
      </c>
      <c r="G7">
        <v>4.3616020000000004</v>
      </c>
      <c r="H7">
        <v>-1.6000239999999999</v>
      </c>
    </row>
    <row r="8" spans="1:8" x14ac:dyDescent="0.2">
      <c r="A8" t="s">
        <v>12</v>
      </c>
      <c r="B8">
        <v>-2.8321550000000002</v>
      </c>
      <c r="C8">
        <v>0.87099300000000002</v>
      </c>
      <c r="D8">
        <v>-3.25</v>
      </c>
      <c r="E8">
        <v>1E-3</v>
      </c>
      <c r="G8">
        <v>-4.5392700000000001</v>
      </c>
      <c r="H8">
        <v>-1.12504</v>
      </c>
    </row>
    <row r="9" spans="1:8" x14ac:dyDescent="0.2">
      <c r="A9" t="s">
        <v>13</v>
      </c>
      <c r="B9">
        <v>-3.339493</v>
      </c>
      <c r="C9">
        <v>1.1134310000000001</v>
      </c>
      <c r="D9">
        <v>-3</v>
      </c>
      <c r="E9">
        <v>3.0000000000000001E-3</v>
      </c>
      <c r="G9">
        <v>5.5217770000000002</v>
      </c>
      <c r="H9">
        <v>-1.1572100000000001</v>
      </c>
    </row>
    <row r="10" spans="1:8" x14ac:dyDescent="0.2">
      <c r="A10" t="s">
        <v>14</v>
      </c>
      <c r="B10">
        <v>-3.1403240000000001</v>
      </c>
      <c r="C10">
        <v>1.288564</v>
      </c>
      <c r="D10">
        <v>-2.44</v>
      </c>
      <c r="E10">
        <v>1.4999999999999999E-2</v>
      </c>
      <c r="G10">
        <v>5.6658619999999997</v>
      </c>
      <c r="H10">
        <v>-0.61478500000000003</v>
      </c>
    </row>
    <row r="11" spans="1:8" x14ac:dyDescent="0.2">
      <c r="A11" t="s">
        <v>15</v>
      </c>
      <c r="B11">
        <v>-0.700264</v>
      </c>
      <c r="C11">
        <v>1.228475</v>
      </c>
      <c r="D11">
        <v>-0.56999999999999995</v>
      </c>
      <c r="E11">
        <v>0.56899999999999995</v>
      </c>
      <c r="G11">
        <v>-3.1080299999999998</v>
      </c>
      <c r="H11">
        <v>1.7075020000000001</v>
      </c>
    </row>
    <row r="12" spans="1:8" x14ac:dyDescent="0.2">
      <c r="A12" t="s">
        <v>16</v>
      </c>
      <c r="B12">
        <v>-0.73357019999999995</v>
      </c>
      <c r="C12">
        <v>0.95283249999999997</v>
      </c>
      <c r="D12">
        <v>-0.77</v>
      </c>
      <c r="E12">
        <v>0.441</v>
      </c>
      <c r="G12">
        <v>2.6010870000000001</v>
      </c>
      <c r="H12">
        <v>1.133947</v>
      </c>
    </row>
    <row r="13" spans="1:8" x14ac:dyDescent="0.2">
      <c r="A13" t="s">
        <v>17</v>
      </c>
      <c r="B13">
        <v>-0.44340489999999999</v>
      </c>
      <c r="C13">
        <v>0.6897875</v>
      </c>
      <c r="D13">
        <v>-0.64</v>
      </c>
      <c r="E13">
        <v>0.52</v>
      </c>
      <c r="G13">
        <v>1.795364</v>
      </c>
      <c r="H13">
        <v>0.90855379999999997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6A99F-7897-3944-9DDD-CB78C6679605}">
  <dimension ref="A2:H13"/>
  <sheetViews>
    <sheetView workbookViewId="0">
      <selection activeCell="A2" sqref="A2:H13"/>
    </sheetView>
  </sheetViews>
  <sheetFormatPr baseColWidth="10" defaultRowHeight="16" x14ac:dyDescent="0.2"/>
  <sheetData>
    <row r="2" spans="1:8" x14ac:dyDescent="0.2">
      <c r="E2" t="s">
        <v>0</v>
      </c>
      <c r="F2" t="s">
        <v>1</v>
      </c>
      <c r="G2" t="s">
        <v>2</v>
      </c>
      <c r="H2" s="1">
        <v>85845</v>
      </c>
    </row>
    <row r="3" spans="1:8" x14ac:dyDescent="0.2">
      <c r="H3" s="1"/>
    </row>
    <row r="4" spans="1:8" x14ac:dyDescent="0.2">
      <c r="A4" t="s">
        <v>20</v>
      </c>
      <c r="B4" t="s">
        <v>4</v>
      </c>
      <c r="C4" t="s">
        <v>5</v>
      </c>
      <c r="D4" t="s">
        <v>6</v>
      </c>
      <c r="E4" t="s">
        <v>7</v>
      </c>
      <c r="G4" t="s">
        <v>8</v>
      </c>
      <c r="H4" t="s">
        <v>9</v>
      </c>
    </row>
    <row r="6" spans="1:8" x14ac:dyDescent="0.2">
      <c r="A6" t="s">
        <v>10</v>
      </c>
      <c r="B6">
        <v>-28.080369999999998</v>
      </c>
      <c r="C6">
        <v>305.91789999999997</v>
      </c>
      <c r="D6">
        <v>-0.09</v>
      </c>
      <c r="E6">
        <v>0.92700000000000005</v>
      </c>
      <c r="G6">
        <v>627.66840000000002</v>
      </c>
      <c r="H6">
        <v>571.5077</v>
      </c>
    </row>
    <row r="7" spans="1:8" x14ac:dyDescent="0.2">
      <c r="A7" t="s">
        <v>11</v>
      </c>
      <c r="B7">
        <v>770.05939999999998</v>
      </c>
      <c r="C7">
        <v>445.64179999999999</v>
      </c>
      <c r="D7">
        <v>1.73</v>
      </c>
      <c r="E7">
        <v>8.4000000000000005E-2</v>
      </c>
      <c r="G7">
        <v>103.3824</v>
      </c>
      <c r="H7">
        <v>1643.501</v>
      </c>
    </row>
    <row r="8" spans="1:8" x14ac:dyDescent="0.2">
      <c r="A8" t="s">
        <v>12</v>
      </c>
      <c r="B8">
        <v>1222.922</v>
      </c>
      <c r="C8">
        <v>569.79729999999995</v>
      </c>
      <c r="D8">
        <v>2.15</v>
      </c>
      <c r="E8">
        <v>3.2000000000000001E-2</v>
      </c>
      <c r="G8">
        <v>106.1404</v>
      </c>
      <c r="H8">
        <v>2339.7049999999999</v>
      </c>
    </row>
    <row r="9" spans="1:8" x14ac:dyDescent="0.2">
      <c r="A9" t="s">
        <v>13</v>
      </c>
      <c r="B9">
        <v>1152.1980000000001</v>
      </c>
      <c r="C9">
        <v>701.68179999999995</v>
      </c>
      <c r="D9">
        <v>1.64</v>
      </c>
      <c r="E9">
        <v>0.10100000000000001</v>
      </c>
      <c r="G9">
        <v>223.0727</v>
      </c>
      <c r="H9">
        <v>2527.4690000000001</v>
      </c>
    </row>
    <row r="10" spans="1:8" x14ac:dyDescent="0.2">
      <c r="A10" t="s">
        <v>14</v>
      </c>
      <c r="B10">
        <v>1397.0029999999999</v>
      </c>
      <c r="C10">
        <v>820.80139999999994</v>
      </c>
      <c r="D10">
        <v>1.7</v>
      </c>
      <c r="E10">
        <v>8.8999999999999996E-2</v>
      </c>
      <c r="G10">
        <v>211.73869999999999</v>
      </c>
      <c r="H10">
        <v>3005.7440000000001</v>
      </c>
    </row>
    <row r="11" spans="1:8" x14ac:dyDescent="0.2">
      <c r="A11" t="s">
        <v>15</v>
      </c>
      <c r="B11">
        <v>1552.778</v>
      </c>
      <c r="C11">
        <v>996.89549999999997</v>
      </c>
      <c r="D11">
        <v>1.56</v>
      </c>
      <c r="E11">
        <v>0.11899999999999999</v>
      </c>
      <c r="G11">
        <v>-401.101</v>
      </c>
      <c r="H11">
        <v>3506.6579999999999</v>
      </c>
    </row>
    <row r="12" spans="1:8" x14ac:dyDescent="0.2">
      <c r="A12" t="s">
        <v>16</v>
      </c>
      <c r="B12">
        <v>673.95320000000004</v>
      </c>
      <c r="C12">
        <v>780.8297</v>
      </c>
      <c r="D12">
        <v>0.86</v>
      </c>
      <c r="E12">
        <v>0.38800000000000001</v>
      </c>
      <c r="G12">
        <v>856.44489999999996</v>
      </c>
      <c r="H12">
        <v>2204.3510000000001</v>
      </c>
    </row>
    <row r="13" spans="1:8" x14ac:dyDescent="0.2">
      <c r="A13" t="s">
        <v>17</v>
      </c>
      <c r="B13">
        <v>-22.118880000000001</v>
      </c>
      <c r="C13">
        <v>565.98509999999999</v>
      </c>
      <c r="D13">
        <v>-0.04</v>
      </c>
      <c r="E13">
        <v>0.96899999999999997</v>
      </c>
      <c r="G13">
        <v>1131.4290000000001</v>
      </c>
      <c r="H13">
        <v>1087.192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CF3BF-56D5-A74A-8191-D12A6652F43F}">
  <dimension ref="A2:H13"/>
  <sheetViews>
    <sheetView workbookViewId="0">
      <selection activeCell="A2" sqref="A2:H13"/>
    </sheetView>
  </sheetViews>
  <sheetFormatPr baseColWidth="10" defaultRowHeight="16" x14ac:dyDescent="0.2"/>
  <sheetData>
    <row r="2" spans="1:8" x14ac:dyDescent="0.2">
      <c r="E2" t="s">
        <v>0</v>
      </c>
      <c r="F2" t="s">
        <v>1</v>
      </c>
      <c r="G2" t="s">
        <v>2</v>
      </c>
      <c r="H2" s="1">
        <v>85845</v>
      </c>
    </row>
    <row r="4" spans="1:8" x14ac:dyDescent="0.2">
      <c r="A4" t="s">
        <v>21</v>
      </c>
      <c r="B4" t="s">
        <v>4</v>
      </c>
      <c r="C4" t="s">
        <v>5</v>
      </c>
      <c r="D4" t="s">
        <v>6</v>
      </c>
      <c r="E4" t="s">
        <v>7</v>
      </c>
      <c r="G4" t="s">
        <v>8</v>
      </c>
      <c r="H4" t="s">
        <v>9</v>
      </c>
    </row>
    <row r="6" spans="1:8" x14ac:dyDescent="0.2">
      <c r="A6" t="s">
        <v>10</v>
      </c>
      <c r="B6">
        <v>187.7835</v>
      </c>
      <c r="C6">
        <v>149.21639999999999</v>
      </c>
      <c r="D6">
        <v>1.26</v>
      </c>
      <c r="E6">
        <v>0.20799999999999999</v>
      </c>
      <c r="G6">
        <v>104.67529999999999</v>
      </c>
      <c r="H6">
        <v>480.2423</v>
      </c>
    </row>
    <row r="7" spans="1:8" x14ac:dyDescent="0.2">
      <c r="A7" t="s">
        <v>11</v>
      </c>
      <c r="B7">
        <v>207.3143</v>
      </c>
      <c r="C7">
        <v>173.0204</v>
      </c>
      <c r="D7">
        <v>1.2</v>
      </c>
      <c r="E7">
        <v>0.23100000000000001</v>
      </c>
      <c r="G7">
        <v>131.79939999999999</v>
      </c>
      <c r="H7">
        <v>546.42790000000002</v>
      </c>
    </row>
    <row r="8" spans="1:8" x14ac:dyDescent="0.2">
      <c r="A8" t="s">
        <v>12</v>
      </c>
      <c r="B8">
        <v>181.26230000000001</v>
      </c>
      <c r="C8">
        <v>214.7534</v>
      </c>
      <c r="D8">
        <v>0.84</v>
      </c>
      <c r="E8">
        <v>0.39900000000000002</v>
      </c>
      <c r="G8">
        <v>239.64660000000001</v>
      </c>
      <c r="H8">
        <v>602.17110000000002</v>
      </c>
    </row>
    <row r="9" spans="1:8" x14ac:dyDescent="0.2">
      <c r="A9" t="s">
        <v>13</v>
      </c>
      <c r="B9">
        <v>655.31709999999998</v>
      </c>
      <c r="C9">
        <v>276.30810000000002</v>
      </c>
      <c r="D9">
        <v>2.37</v>
      </c>
      <c r="E9">
        <v>1.7999999999999999E-2</v>
      </c>
      <c r="G9">
        <v>113.7632</v>
      </c>
      <c r="H9">
        <v>1196.8710000000001</v>
      </c>
    </row>
    <row r="10" spans="1:8" x14ac:dyDescent="0.2">
      <c r="A10" t="s">
        <v>14</v>
      </c>
      <c r="B10">
        <v>981.49839999999995</v>
      </c>
      <c r="C10">
        <v>320.69690000000003</v>
      </c>
      <c r="D10">
        <v>3.06</v>
      </c>
      <c r="E10">
        <v>2E-3</v>
      </c>
      <c r="G10">
        <v>352.94400000000002</v>
      </c>
      <c r="H10">
        <v>1610.0530000000001</v>
      </c>
    </row>
    <row r="11" spans="1:8" x14ac:dyDescent="0.2">
      <c r="A11" t="s">
        <v>15</v>
      </c>
      <c r="B11">
        <v>-997.06410000000005</v>
      </c>
      <c r="C11">
        <v>258.9769</v>
      </c>
      <c r="D11">
        <v>-3.85</v>
      </c>
      <c r="E11">
        <v>0</v>
      </c>
      <c r="G11">
        <v>-1504.65</v>
      </c>
      <c r="H11">
        <v>-489.4787</v>
      </c>
    </row>
    <row r="12" spans="1:8" x14ac:dyDescent="0.2">
      <c r="A12" t="s">
        <v>16</v>
      </c>
      <c r="B12">
        <v>-437.74290000000002</v>
      </c>
      <c r="C12">
        <v>200.08160000000001</v>
      </c>
      <c r="D12">
        <v>-2.19</v>
      </c>
      <c r="E12">
        <v>2.9000000000000001E-2</v>
      </c>
      <c r="G12">
        <v>829.89570000000003</v>
      </c>
      <c r="H12">
        <v>-45.590150000000001</v>
      </c>
    </row>
    <row r="13" spans="1:8" x14ac:dyDescent="0.2">
      <c r="A13" t="s">
        <v>17</v>
      </c>
      <c r="B13">
        <v>-197.96080000000001</v>
      </c>
      <c r="C13">
        <v>142.89689999999999</v>
      </c>
      <c r="D13">
        <v>-1.39</v>
      </c>
      <c r="E13">
        <v>0.16600000000000001</v>
      </c>
      <c r="G13">
        <v>478.03370000000001</v>
      </c>
      <c r="H13">
        <v>82.111999999999995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A2A5A-DEE3-D44D-B034-549F8E714DD3}">
  <dimension ref="A2:H13"/>
  <sheetViews>
    <sheetView workbookViewId="0">
      <selection activeCell="A2" sqref="A2:H13"/>
    </sheetView>
  </sheetViews>
  <sheetFormatPr baseColWidth="10" defaultRowHeight="16" x14ac:dyDescent="0.2"/>
  <sheetData>
    <row r="2" spans="1:8" x14ac:dyDescent="0.2">
      <c r="E2" t="s">
        <v>0</v>
      </c>
      <c r="F2" t="s">
        <v>1</v>
      </c>
      <c r="G2" t="s">
        <v>2</v>
      </c>
      <c r="H2" s="1">
        <v>85845</v>
      </c>
    </row>
    <row r="4" spans="1:8" x14ac:dyDescent="0.2">
      <c r="A4" t="s">
        <v>22</v>
      </c>
      <c r="B4" t="s">
        <v>4</v>
      </c>
      <c r="C4" t="s">
        <v>5</v>
      </c>
      <c r="D4" t="s">
        <v>6</v>
      </c>
      <c r="E4" t="s">
        <v>7</v>
      </c>
      <c r="G4" t="s">
        <v>8</v>
      </c>
      <c r="H4" t="s">
        <v>9</v>
      </c>
    </row>
    <row r="6" spans="1:8" x14ac:dyDescent="0.2">
      <c r="A6" t="s">
        <v>10</v>
      </c>
      <c r="B6">
        <v>-1587.8320000000001</v>
      </c>
      <c r="C6">
        <v>617.47370000000001</v>
      </c>
      <c r="D6">
        <v>-2.57</v>
      </c>
      <c r="E6">
        <v>0.01</v>
      </c>
      <c r="G6">
        <v>2798.058</v>
      </c>
      <c r="H6">
        <v>-377.60539999999997</v>
      </c>
    </row>
    <row r="7" spans="1:8" x14ac:dyDescent="0.2">
      <c r="A7" t="s">
        <v>11</v>
      </c>
      <c r="B7">
        <v>-1762.328</v>
      </c>
      <c r="C7">
        <v>771.51530000000002</v>
      </c>
      <c r="D7">
        <v>-2.2799999999999998</v>
      </c>
      <c r="E7">
        <v>2.1999999999999999E-2</v>
      </c>
      <c r="G7">
        <v>3274.471</v>
      </c>
      <c r="H7">
        <v>-250.18620000000001</v>
      </c>
    </row>
    <row r="8" spans="1:8" x14ac:dyDescent="0.2">
      <c r="A8" t="s">
        <v>12</v>
      </c>
      <c r="B8">
        <v>-1517.654</v>
      </c>
      <c r="C8">
        <v>927.92520000000002</v>
      </c>
      <c r="D8">
        <v>-1.64</v>
      </c>
      <c r="E8">
        <v>0.10199999999999999</v>
      </c>
      <c r="G8">
        <v>3336.3539999999998</v>
      </c>
      <c r="H8">
        <v>301.04559999999998</v>
      </c>
    </row>
    <row r="9" spans="1:8" x14ac:dyDescent="0.2">
      <c r="A9" t="s">
        <v>13</v>
      </c>
      <c r="B9">
        <v>-1966.652</v>
      </c>
      <c r="C9">
        <v>1148.635</v>
      </c>
      <c r="D9">
        <v>-1.71</v>
      </c>
      <c r="E9">
        <v>8.6999999999999994E-2</v>
      </c>
      <c r="G9">
        <v>4217.9369999999999</v>
      </c>
      <c r="H9">
        <v>284.63159999999999</v>
      </c>
    </row>
    <row r="10" spans="1:8" x14ac:dyDescent="0.2">
      <c r="A10" t="s">
        <v>14</v>
      </c>
      <c r="B10">
        <v>-1010.81</v>
      </c>
      <c r="C10">
        <v>1295.989</v>
      </c>
      <c r="D10">
        <v>-0.78</v>
      </c>
      <c r="E10">
        <v>0.435</v>
      </c>
      <c r="G10">
        <v>3550.902</v>
      </c>
      <c r="H10">
        <v>1529.2809999999999</v>
      </c>
    </row>
    <row r="11" spans="1:8" x14ac:dyDescent="0.2">
      <c r="A11" t="s">
        <v>15</v>
      </c>
      <c r="B11">
        <v>-1794.4459999999999</v>
      </c>
      <c r="C11">
        <v>1681.7339999999999</v>
      </c>
      <c r="D11">
        <v>-1.07</v>
      </c>
      <c r="E11">
        <v>0.28599999999999998</v>
      </c>
      <c r="G11">
        <v>5090.5839999999998</v>
      </c>
      <c r="H11">
        <v>1501.691</v>
      </c>
    </row>
    <row r="12" spans="1:8" x14ac:dyDescent="0.2">
      <c r="A12" t="s">
        <v>16</v>
      </c>
      <c r="B12">
        <v>-824.14430000000004</v>
      </c>
      <c r="C12">
        <v>1329.393</v>
      </c>
      <c r="D12">
        <v>-0.62</v>
      </c>
      <c r="E12">
        <v>0.53500000000000003</v>
      </c>
      <c r="G12">
        <v>3429.7069999999999</v>
      </c>
      <c r="H12">
        <v>1781.4190000000001</v>
      </c>
    </row>
    <row r="13" spans="1:8" x14ac:dyDescent="0.2">
      <c r="A13" t="s">
        <v>17</v>
      </c>
      <c r="B13">
        <v>-1432.9069999999999</v>
      </c>
      <c r="C13">
        <v>1022.547</v>
      </c>
      <c r="D13">
        <v>-1.4</v>
      </c>
      <c r="E13">
        <v>0.161</v>
      </c>
      <c r="G13">
        <v>3437.0619999999999</v>
      </c>
      <c r="H13">
        <v>571.24770000000001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TABLE EXAMPLE_FULL</vt:lpstr>
      <vt:lpstr>TABLE EXAMPLE_NOINS</vt:lpstr>
      <vt:lpstr>Comparison</vt:lpstr>
      <vt:lpstr>oop_spend_full</vt:lpstr>
      <vt:lpstr>earnings_full</vt:lpstr>
      <vt:lpstr>working_full</vt:lpstr>
      <vt:lpstr>spousal_full</vt:lpstr>
      <vt:lpstr>insurancepay_full</vt:lpstr>
      <vt:lpstr>hitot_full</vt:lpstr>
      <vt:lpstr>oop_spend_NOINS</vt:lpstr>
      <vt:lpstr>earnings_NOINS</vt:lpstr>
      <vt:lpstr>working_NOINS</vt:lpstr>
      <vt:lpstr>spousal_NOINS</vt:lpstr>
      <vt:lpstr>insurancepay_NOINS</vt:lpstr>
      <vt:lpstr>hitot_NOINS</vt:lpstr>
      <vt:lpstr>oop_spend_INS</vt:lpstr>
      <vt:lpstr>earnings_INS </vt:lpstr>
      <vt:lpstr>working_INS </vt:lpstr>
      <vt:lpstr>spousal_INS </vt:lpstr>
      <vt:lpstr>insurancepay_INS </vt:lpstr>
      <vt:lpstr>hitot_INS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Ivan Leonardo Urrea Rios</cp:lastModifiedBy>
  <dcterms:created xsi:type="dcterms:W3CDTF">2023-04-11T01:33:47Z</dcterms:created>
  <dcterms:modified xsi:type="dcterms:W3CDTF">2023-04-13T05:09:03Z</dcterms:modified>
</cp:coreProperties>
</file>